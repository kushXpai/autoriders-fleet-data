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ounts\Downloads\"/>
    </mc:Choice>
  </mc:AlternateContent>
  <xr:revisionPtr revIDLastSave="0" documentId="8_{868C827C-F613-4960-8F11-EAD528DA0352}" xr6:coauthVersionLast="47" xr6:coauthVersionMax="47" xr10:uidLastSave="{00000000-0000-0000-0000-000000000000}"/>
  <bookViews>
    <workbookView xWindow="-108" yWindow="-108" windowWidth="23256" windowHeight="12456" xr2:uid="{920B68A7-C427-41AD-AF8E-2FAD0D45BE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9" i="1" l="1"/>
  <c r="Z3" i="1" l="1"/>
  <c r="Z4" i="1"/>
  <c r="Z5" i="1"/>
  <c r="Z6" i="1"/>
  <c r="Z7" i="1"/>
  <c r="Z8" i="1"/>
  <c r="Z2" i="1" l="1"/>
</calcChain>
</file>

<file path=xl/sharedStrings.xml><?xml version="1.0" encoding="utf-8"?>
<sst xmlns="http://schemas.openxmlformats.org/spreadsheetml/2006/main" count="66" uniqueCount="43">
  <si>
    <t>Branch</t>
  </si>
  <si>
    <t>Month</t>
  </si>
  <si>
    <t>Year</t>
  </si>
  <si>
    <t>Model</t>
  </si>
  <si>
    <t>Opening KMS</t>
  </si>
  <si>
    <t>Closing KMS</t>
  </si>
  <si>
    <t>Total KMS</t>
  </si>
  <si>
    <t>STR Kms</t>
  </si>
  <si>
    <t>NRK</t>
  </si>
  <si>
    <t>Total Revenue</t>
  </si>
  <si>
    <t>Repair Cost</t>
  </si>
  <si>
    <t>EMI</t>
  </si>
  <si>
    <t>Profit %</t>
  </si>
  <si>
    <t>Mumbai</t>
  </si>
  <si>
    <t xml:space="preserve">April </t>
  </si>
  <si>
    <t>MH02FG5321</t>
  </si>
  <si>
    <t>CRYSTA</t>
  </si>
  <si>
    <t>21.09.2021</t>
  </si>
  <si>
    <t>MH02FG5322</t>
  </si>
  <si>
    <t>MH02FG7818</t>
  </si>
  <si>
    <t>28.06.2022</t>
  </si>
  <si>
    <t>MH02FG1940</t>
  </si>
  <si>
    <t>15.01.2020</t>
  </si>
  <si>
    <t>MH02FG2306</t>
  </si>
  <si>
    <t>10.02.2020</t>
  </si>
  <si>
    <t>MH02FG2305</t>
  </si>
  <si>
    <t>MH02FG9286</t>
  </si>
  <si>
    <t>28.10.2022</t>
  </si>
  <si>
    <t>HR38AD1224</t>
  </si>
  <si>
    <t>18.08.2022</t>
  </si>
  <si>
    <t>Sr. No</t>
  </si>
  <si>
    <t>Registration Number</t>
  </si>
  <si>
    <t>Registration Date</t>
  </si>
  <si>
    <t>CD Kms</t>
  </si>
  <si>
    <t>SD Kms</t>
  </si>
  <si>
    <t>Revenue KMS</t>
  </si>
  <si>
    <t>CD Revenue</t>
  </si>
  <si>
    <t>SD Revenue</t>
  </si>
  <si>
    <t>STR Revenue</t>
  </si>
  <si>
    <t>Fuel Cost</t>
  </si>
  <si>
    <t>Chauffeur Cost</t>
  </si>
  <si>
    <t>Total Cost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</si>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</sst>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333333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7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right" vertical="center"/>
    </xf>
    <xf numFmtId="0" fontId="0" fillId="0" borderId="0" xfId="0" applyBorder="1" applyAlignment="1">
      <alignment horizontal="right"/>
    </xf>
    <xf numFmtId="0" fontId="0" fillId="0" borderId="0" xfId="0" applyBorder="1"/>
    <xf numFmtId="1" fontId="2" fillId="0" borderId="0" xfId="0" applyNumberFormat="1" applyFont="1" applyBorder="1" applyAlignment="1">
      <alignment horizontal="left" vertical="top"/>
    </xf>
    <xf numFmtId="1" fontId="2" fillId="0" borderId="0" xfId="0" applyNumberFormat="1" applyFont="1" applyBorder="1" applyAlignment="1">
      <alignment horizontal="left" vertical="top" wrapText="1"/>
    </xf>
    <xf numFmtId="1" fontId="4" fillId="0" borderId="0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" fontId="4" fillId="0" borderId="0" xfId="1" applyNumberFormat="1" applyFont="1" applyBorder="1" applyAlignment="1">
      <alignment horizontal="right" vertical="top"/>
    </xf>
    <xf numFmtId="1" fontId="2" fillId="0" borderId="0" xfId="0" applyNumberFormat="1" applyFont="1" applyBorder="1" applyAlignment="1">
      <alignment horizontal="right" wrapText="1"/>
    </xf>
    <xf numFmtId="1" fontId="2" fillId="0" borderId="0" xfId="0" applyNumberFormat="1" applyFont="1" applyBorder="1" applyAlignment="1">
      <alignment horizontal="right" vertical="top"/>
    </xf>
    <xf numFmtId="1" fontId="4" fillId="0" borderId="0" xfId="0" applyNumberFormat="1" applyFont="1" applyBorder="1" applyAlignment="1">
      <alignment horizontal="right" vertical="top"/>
    </xf>
    <xf numFmtId="1" fontId="5" fillId="0" borderId="0" xfId="0" applyNumberFormat="1" applyFont="1" applyBorder="1" applyAlignment="1">
      <alignment horizontal="right" vertical="top"/>
    </xf>
    <xf numFmtId="2" fontId="4" fillId="0" borderId="0" xfId="0" applyNumberFormat="1" applyFont="1" applyBorder="1" applyAlignment="1">
      <alignment horizontal="right" vertical="top"/>
    </xf>
    <xf numFmtId="2" fontId="2" fillId="0" borderId="0" xfId="0" applyNumberFormat="1" applyFont="1" applyBorder="1" applyAlignment="1">
      <alignment horizontal="right" vertical="top"/>
    </xf>
    <xf numFmtId="0" fontId="2" fillId="0" borderId="0" xfId="0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1" fontId="6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horizontal="right" vertical="top"/>
    </xf>
    <xf numFmtId="0" fontId="3" fillId="0" borderId="0" xfId="0" applyFont="1" applyBorder="1" applyAlignment="1">
      <alignment vertical="top"/>
    </xf>
    <xf numFmtId="0" fontId="0" fillId="0" borderId="0" xfId="0" applyBorder="1" applyAlignment="1">
      <alignment horizontal="left"/>
    </xf>
  </cellXfs>
  <cellStyles count="2">
    <cellStyle name="Normal" xfId="0" builtinId="0"/>
    <cellStyle name="Normal 18" xfId="1" xr:uid="{8D3DB0A6-7D30-443B-ACC4-2943894683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E86E0-C8CB-4BD3-AE3A-BF7BE9041B46}">
  <dimension ref="A1:AA9"/>
  <sheetViews>
    <sheetView tabSelected="1" topLeftCell="F1" workbookViewId="0">
      <selection activeCell="M13" sqref="M13"/>
    </sheetView>
  </sheetViews>
  <sheetFormatPr defaultRowHeight="14.4" x14ac:dyDescent="0.3"/>
  <cols>
    <col min="1" max="1" width="6" style="22" bestFit="1" customWidth="1"/>
    <col min="2" max="2" width="7.109375" style="22" bestFit="1" customWidth="1"/>
    <col min="3" max="3" width="6.109375" style="22" bestFit="1" customWidth="1"/>
    <col min="4" max="4" width="5" style="22" bestFit="1" customWidth="1"/>
    <col min="5" max="5" width="18.33203125" style="22" bestFit="1" customWidth="1"/>
    <col min="6" max="6" width="6.88671875" style="22" bestFit="1" customWidth="1"/>
    <col min="7" max="7" width="15.33203125" style="3" bestFit="1" customWidth="1"/>
    <col min="8" max="8" width="11.88671875" style="3" bestFit="1" customWidth="1"/>
    <col min="9" max="9" width="11.109375" style="3" bestFit="1" customWidth="1"/>
    <col min="10" max="10" width="9.109375" style="3" bestFit="1" customWidth="1"/>
    <col min="11" max="11" width="7.44140625" style="3" bestFit="1" customWidth="1"/>
    <col min="12" max="12" width="7.33203125" style="3" bestFit="1" customWidth="1"/>
    <col min="13" max="13" width="8.109375" style="3" bestFit="1" customWidth="1"/>
    <col min="14" max="14" width="12" style="3" bestFit="1" customWidth="1"/>
    <col min="15" max="15" width="4.5546875" style="3" bestFit="1" customWidth="1"/>
    <col min="16" max="16" width="10.77734375" style="3" bestFit="1" customWidth="1"/>
    <col min="17" max="17" width="10.6640625" style="3" bestFit="1" customWidth="1"/>
    <col min="18" max="18" width="11.44140625" style="3" bestFit="1" customWidth="1"/>
    <col min="19" max="19" width="12.44140625" style="3" bestFit="1" customWidth="1"/>
    <col min="20" max="20" width="8.6640625" style="3" bestFit="1" customWidth="1"/>
    <col min="21" max="21" width="10.5546875" style="3" bestFit="1" customWidth="1"/>
    <col min="22" max="22" width="13.21875" style="3" bestFit="1" customWidth="1"/>
    <col min="23" max="23" width="4" style="3" bestFit="1" customWidth="1"/>
    <col min="24" max="24" width="9.21875" style="3" bestFit="1" customWidth="1"/>
    <col min="25" max="25" width="6" style="3" bestFit="1" customWidth="1"/>
    <col min="26" max="26" width="7.44140625" style="3" bestFit="1" customWidth="1"/>
    <col min="27" max="27" width="8.88671875" style="3"/>
    <col min="28" max="16384" width="8.88671875" style="4"/>
  </cols>
  <sheetData>
    <row r="1" spans="1:27" x14ac:dyDescent="0.3">
      <c r="A1" s="1" t="s">
        <v>30</v>
      </c>
      <c r="B1" s="1" t="s">
        <v>0</v>
      </c>
      <c r="C1" s="1" t="s">
        <v>1</v>
      </c>
      <c r="D1" s="1" t="s">
        <v>2</v>
      </c>
      <c r="E1" s="1" t="s">
        <v>31</v>
      </c>
      <c r="F1" s="1" t="s">
        <v>3</v>
      </c>
      <c r="G1" s="2" t="s">
        <v>32</v>
      </c>
      <c r="H1" s="2" t="s">
        <v>4</v>
      </c>
      <c r="I1" s="2" t="s">
        <v>5</v>
      </c>
      <c r="J1" s="2" t="s">
        <v>6</v>
      </c>
      <c r="K1" s="2" t="s">
        <v>33</v>
      </c>
      <c r="L1" s="2" t="s">
        <v>34</v>
      </c>
      <c r="M1" s="2" t="s">
        <v>7</v>
      </c>
      <c r="N1" s="2" t="s">
        <v>35</v>
      </c>
      <c r="O1" s="2" t="s">
        <v>8</v>
      </c>
      <c r="P1" s="2" t="s">
        <v>36</v>
      </c>
      <c r="Q1" s="2" t="s">
        <v>37</v>
      </c>
      <c r="R1" s="2" t="s">
        <v>38</v>
      </c>
      <c r="S1" s="2" t="s">
        <v>9</v>
      </c>
      <c r="T1" s="2" t="s">
        <v>39</v>
      </c>
      <c r="U1" s="2" t="s">
        <v>10</v>
      </c>
      <c r="V1" s="2" t="s">
        <v>40</v>
      </c>
      <c r="W1" s="2" t="s">
        <v>11</v>
      </c>
      <c r="X1" s="2" t="s">
        <v>41</v>
      </c>
      <c r="Y1" s="2" t="s">
        <v>42</v>
      </c>
      <c r="Z1" s="2" t="s">
        <v>12</v>
      </c>
    </row>
    <row r="2" spans="1:27" s="17" customFormat="1" ht="13.8" x14ac:dyDescent="0.3">
      <c r="A2" s="5">
        <v>1</v>
      </c>
      <c r="B2" s="6" t="s">
        <v>13</v>
      </c>
      <c r="C2" s="6" t="s">
        <v>14</v>
      </c>
      <c r="D2" s="6">
        <v>2026</v>
      </c>
      <c r="E2" s="5" t="s">
        <v>15</v>
      </c>
      <c r="F2" s="7" t="s">
        <v>16</v>
      </c>
      <c r="G2" s="8" t="s">
        <v>17</v>
      </c>
      <c r="H2" s="9">
        <v>80470</v>
      </c>
      <c r="I2" s="9">
        <v>82145</v>
      </c>
      <c r="J2" s="10">
        <v>1675</v>
      </c>
      <c r="K2" s="11">
        <v>0</v>
      </c>
      <c r="L2" s="11">
        <v>0</v>
      </c>
      <c r="M2" s="12">
        <v>1675</v>
      </c>
      <c r="N2" s="13">
        <v>1675</v>
      </c>
      <c r="O2" s="10">
        <v>0</v>
      </c>
      <c r="P2" s="10">
        <v>0</v>
      </c>
      <c r="Q2" s="10">
        <v>0</v>
      </c>
      <c r="R2" s="13">
        <v>135000</v>
      </c>
      <c r="S2" s="13">
        <v>135000</v>
      </c>
      <c r="T2" s="11">
        <v>15187.16</v>
      </c>
      <c r="U2" s="11">
        <v>0</v>
      </c>
      <c r="V2" s="13">
        <v>51501.883709754926</v>
      </c>
      <c r="W2" s="11">
        <v>0</v>
      </c>
      <c r="X2" s="13">
        <v>66689.043709754929</v>
      </c>
      <c r="Y2" s="14">
        <v>68310.956290245071</v>
      </c>
      <c r="Z2" s="15">
        <f>SUM(Y2/S2%)</f>
        <v>50.600708363144498</v>
      </c>
      <c r="AA2" s="16"/>
    </row>
    <row r="3" spans="1:27" s="17" customFormat="1" ht="13.8" x14ac:dyDescent="0.3">
      <c r="A3" s="18">
        <v>2</v>
      </c>
      <c r="B3" s="6" t="s">
        <v>13</v>
      </c>
      <c r="C3" s="6" t="s">
        <v>14</v>
      </c>
      <c r="D3" s="6">
        <v>2026</v>
      </c>
      <c r="E3" s="5" t="s">
        <v>18</v>
      </c>
      <c r="F3" s="7" t="s">
        <v>16</v>
      </c>
      <c r="G3" s="8" t="s">
        <v>17</v>
      </c>
      <c r="H3" s="9">
        <v>78473</v>
      </c>
      <c r="I3" s="9">
        <v>80373</v>
      </c>
      <c r="J3" s="10">
        <v>1900</v>
      </c>
      <c r="K3" s="11">
        <v>0</v>
      </c>
      <c r="L3" s="11">
        <v>0</v>
      </c>
      <c r="M3" s="12">
        <v>1900</v>
      </c>
      <c r="N3" s="13">
        <v>1900</v>
      </c>
      <c r="O3" s="10">
        <v>0</v>
      </c>
      <c r="P3" s="10">
        <v>0</v>
      </c>
      <c r="Q3" s="10">
        <v>0</v>
      </c>
      <c r="R3" s="13">
        <v>130500</v>
      </c>
      <c r="S3" s="13">
        <v>130500</v>
      </c>
      <c r="T3" s="11">
        <v>21689.13</v>
      </c>
      <c r="U3" s="11">
        <v>15436.64</v>
      </c>
      <c r="V3" s="13">
        <v>49785.154252763095</v>
      </c>
      <c r="W3" s="11">
        <v>0</v>
      </c>
      <c r="X3" s="13">
        <v>86910.9242527631</v>
      </c>
      <c r="Y3" s="14">
        <v>43589.0757472369</v>
      </c>
      <c r="Z3" s="15">
        <f>SUM(Y3/S3%)</f>
        <v>33.401590610909501</v>
      </c>
      <c r="AA3" s="16"/>
    </row>
    <row r="4" spans="1:27" s="17" customFormat="1" ht="13.8" x14ac:dyDescent="0.3">
      <c r="A4" s="5">
        <v>3</v>
      </c>
      <c r="B4" s="6" t="s">
        <v>13</v>
      </c>
      <c r="C4" s="6" t="s">
        <v>14</v>
      </c>
      <c r="D4" s="6">
        <v>2026</v>
      </c>
      <c r="E4" s="5" t="s">
        <v>19</v>
      </c>
      <c r="F4" s="7" t="s">
        <v>16</v>
      </c>
      <c r="G4" s="8" t="s">
        <v>20</v>
      </c>
      <c r="H4" s="9">
        <v>95707</v>
      </c>
      <c r="I4" s="9">
        <v>97488</v>
      </c>
      <c r="J4" s="10">
        <v>1781</v>
      </c>
      <c r="K4" s="11">
        <v>0</v>
      </c>
      <c r="L4" s="11">
        <v>0</v>
      </c>
      <c r="M4" s="12">
        <v>1764</v>
      </c>
      <c r="N4" s="13">
        <v>1764</v>
      </c>
      <c r="O4" s="10">
        <v>-17</v>
      </c>
      <c r="P4" s="10">
        <v>0</v>
      </c>
      <c r="Q4" s="10">
        <v>0</v>
      </c>
      <c r="R4" s="13">
        <v>126000</v>
      </c>
      <c r="S4" s="13">
        <v>126000</v>
      </c>
      <c r="T4" s="11">
        <v>17318.16</v>
      </c>
      <c r="U4" s="11">
        <v>7400.28</v>
      </c>
      <c r="V4" s="13">
        <v>48068.424795771265</v>
      </c>
      <c r="W4" s="11">
        <v>0</v>
      </c>
      <c r="X4" s="13">
        <v>72786.864795771267</v>
      </c>
      <c r="Y4" s="14">
        <v>53213.135204228733</v>
      </c>
      <c r="Z4" s="15">
        <f>SUM(Y4/S4%)</f>
        <v>42.232646987483122</v>
      </c>
      <c r="AA4" s="16"/>
    </row>
    <row r="5" spans="1:27" s="17" customFormat="1" ht="13.8" x14ac:dyDescent="0.3">
      <c r="A5" s="18">
        <v>4</v>
      </c>
      <c r="B5" s="6" t="s">
        <v>13</v>
      </c>
      <c r="C5" s="6" t="s">
        <v>14</v>
      </c>
      <c r="D5" s="6">
        <v>2026</v>
      </c>
      <c r="E5" s="5" t="s">
        <v>21</v>
      </c>
      <c r="F5" s="7" t="s">
        <v>16</v>
      </c>
      <c r="G5" s="8" t="s">
        <v>22</v>
      </c>
      <c r="H5" s="9">
        <v>104253</v>
      </c>
      <c r="I5" s="9">
        <v>106101</v>
      </c>
      <c r="J5" s="10">
        <v>1848</v>
      </c>
      <c r="K5" s="11">
        <v>0</v>
      </c>
      <c r="L5" s="11">
        <v>0</v>
      </c>
      <c r="M5" s="12">
        <v>1848</v>
      </c>
      <c r="N5" s="13">
        <v>1848</v>
      </c>
      <c r="O5" s="10">
        <v>0</v>
      </c>
      <c r="P5" s="10">
        <v>0</v>
      </c>
      <c r="Q5" s="10">
        <v>0</v>
      </c>
      <c r="R5" s="13">
        <v>135000</v>
      </c>
      <c r="S5" s="13">
        <v>135000</v>
      </c>
      <c r="T5" s="11">
        <v>22050.15</v>
      </c>
      <c r="U5" s="11">
        <v>0</v>
      </c>
      <c r="V5" s="13">
        <v>51501.883709754926</v>
      </c>
      <c r="W5" s="11">
        <v>0</v>
      </c>
      <c r="X5" s="13">
        <v>73552.033709754935</v>
      </c>
      <c r="Y5" s="14">
        <v>61447.966290245065</v>
      </c>
      <c r="Z5" s="15">
        <f>SUM(Y5/S5%)</f>
        <v>45.517012066848196</v>
      </c>
      <c r="AA5" s="16"/>
    </row>
    <row r="6" spans="1:27" s="17" customFormat="1" ht="13.8" x14ac:dyDescent="0.3">
      <c r="A6" s="5">
        <v>5</v>
      </c>
      <c r="B6" s="6" t="s">
        <v>13</v>
      </c>
      <c r="C6" s="6" t="s">
        <v>14</v>
      </c>
      <c r="D6" s="6">
        <v>2026</v>
      </c>
      <c r="E6" s="5" t="s">
        <v>23</v>
      </c>
      <c r="F6" s="7" t="s">
        <v>16</v>
      </c>
      <c r="G6" s="8" t="s">
        <v>24</v>
      </c>
      <c r="H6" s="9">
        <v>97669</v>
      </c>
      <c r="I6" s="9">
        <v>99549</v>
      </c>
      <c r="J6" s="10">
        <v>1880</v>
      </c>
      <c r="K6" s="11">
        <v>0</v>
      </c>
      <c r="L6" s="11">
        <v>0</v>
      </c>
      <c r="M6" s="12">
        <v>1879</v>
      </c>
      <c r="N6" s="13">
        <v>1879</v>
      </c>
      <c r="O6" s="10">
        <v>-1</v>
      </c>
      <c r="P6" s="10">
        <v>0</v>
      </c>
      <c r="Q6" s="10">
        <v>0</v>
      </c>
      <c r="R6" s="13">
        <v>135000</v>
      </c>
      <c r="S6" s="13">
        <v>135000</v>
      </c>
      <c r="T6" s="11">
        <v>20612.37</v>
      </c>
      <c r="U6" s="11">
        <v>2850.76</v>
      </c>
      <c r="V6" s="13">
        <v>51501.883709754926</v>
      </c>
      <c r="W6" s="11">
        <v>0</v>
      </c>
      <c r="X6" s="13">
        <v>74965.013709754916</v>
      </c>
      <c r="Y6" s="14">
        <v>60034.986290245084</v>
      </c>
      <c r="Z6" s="15">
        <f>SUM(Y6/S6%)</f>
        <v>44.470360214996361</v>
      </c>
      <c r="AA6" s="16"/>
    </row>
    <row r="7" spans="1:27" s="17" customFormat="1" ht="13.8" x14ac:dyDescent="0.3">
      <c r="A7" s="18">
        <v>6</v>
      </c>
      <c r="B7" s="6" t="s">
        <v>13</v>
      </c>
      <c r="C7" s="6" t="s">
        <v>14</v>
      </c>
      <c r="D7" s="6">
        <v>2026</v>
      </c>
      <c r="E7" s="5" t="s">
        <v>25</v>
      </c>
      <c r="F7" s="7" t="s">
        <v>16</v>
      </c>
      <c r="G7" s="8" t="s">
        <v>24</v>
      </c>
      <c r="H7" s="9">
        <v>100171</v>
      </c>
      <c r="I7" s="9">
        <v>102071</v>
      </c>
      <c r="J7" s="10">
        <v>1900</v>
      </c>
      <c r="K7" s="11">
        <v>0</v>
      </c>
      <c r="L7" s="11">
        <v>0</v>
      </c>
      <c r="M7" s="12">
        <v>1900</v>
      </c>
      <c r="N7" s="13">
        <v>1900</v>
      </c>
      <c r="O7" s="10">
        <v>0</v>
      </c>
      <c r="P7" s="10">
        <v>0</v>
      </c>
      <c r="Q7" s="10">
        <v>0</v>
      </c>
      <c r="R7" s="13">
        <v>135000</v>
      </c>
      <c r="S7" s="13">
        <v>135000</v>
      </c>
      <c r="T7" s="11">
        <v>18793.75</v>
      </c>
      <c r="U7" s="11">
        <v>7399.78</v>
      </c>
      <c r="V7" s="13">
        <v>51501.883709754926</v>
      </c>
      <c r="W7" s="11">
        <v>0</v>
      </c>
      <c r="X7" s="13">
        <v>77695.413709754925</v>
      </c>
      <c r="Y7" s="14">
        <v>57304.586290245075</v>
      </c>
      <c r="Z7" s="15">
        <f>SUM(Y7/S7%)</f>
        <v>42.44784169647783</v>
      </c>
      <c r="AA7" s="16"/>
    </row>
    <row r="8" spans="1:27" s="17" customFormat="1" ht="13.8" x14ac:dyDescent="0.3">
      <c r="A8" s="5">
        <v>7</v>
      </c>
      <c r="B8" s="6" t="s">
        <v>13</v>
      </c>
      <c r="C8" s="6" t="s">
        <v>14</v>
      </c>
      <c r="D8" s="6">
        <v>2026</v>
      </c>
      <c r="E8" s="19" t="s">
        <v>26</v>
      </c>
      <c r="F8" s="7" t="s">
        <v>16</v>
      </c>
      <c r="G8" s="8" t="s">
        <v>27</v>
      </c>
      <c r="H8" s="9">
        <v>89845</v>
      </c>
      <c r="I8" s="9">
        <v>91468</v>
      </c>
      <c r="J8" s="10">
        <v>1623</v>
      </c>
      <c r="K8" s="11">
        <v>0</v>
      </c>
      <c r="L8" s="11">
        <v>0</v>
      </c>
      <c r="M8" s="12">
        <v>1623</v>
      </c>
      <c r="N8" s="13">
        <v>1623</v>
      </c>
      <c r="O8" s="10">
        <v>0</v>
      </c>
      <c r="P8" s="10">
        <v>0</v>
      </c>
      <c r="Q8" s="10">
        <v>0</v>
      </c>
      <c r="R8" s="13">
        <v>122500</v>
      </c>
      <c r="S8" s="13">
        <v>122500</v>
      </c>
      <c r="T8" s="11">
        <v>14989.08</v>
      </c>
      <c r="U8" s="11">
        <v>2400</v>
      </c>
      <c r="V8" s="13">
        <v>46733.190773666509</v>
      </c>
      <c r="W8" s="11">
        <v>0</v>
      </c>
      <c r="X8" s="13">
        <v>64122.270773666511</v>
      </c>
      <c r="Y8" s="14">
        <v>58377.729226333489</v>
      </c>
      <c r="Z8" s="15">
        <f>SUM(Y8/S8%)</f>
        <v>47.655289164353867</v>
      </c>
      <c r="AA8" s="16"/>
    </row>
    <row r="9" spans="1:27" s="21" customFormat="1" ht="13.8" x14ac:dyDescent="0.3">
      <c r="A9" s="18">
        <v>8</v>
      </c>
      <c r="B9" s="6" t="s">
        <v>13</v>
      </c>
      <c r="C9" s="6" t="s">
        <v>14</v>
      </c>
      <c r="D9" s="6">
        <v>2026</v>
      </c>
      <c r="E9" s="19" t="s">
        <v>28</v>
      </c>
      <c r="F9" s="7" t="s">
        <v>16</v>
      </c>
      <c r="G9" s="8" t="s">
        <v>29</v>
      </c>
      <c r="H9" s="9">
        <v>104002</v>
      </c>
      <c r="I9" s="9">
        <v>105736</v>
      </c>
      <c r="J9" s="10">
        <v>1734</v>
      </c>
      <c r="K9" s="11">
        <v>0</v>
      </c>
      <c r="L9" s="11">
        <v>0</v>
      </c>
      <c r="M9" s="12">
        <v>1717</v>
      </c>
      <c r="N9" s="13">
        <v>1717</v>
      </c>
      <c r="O9" s="10">
        <v>-17</v>
      </c>
      <c r="P9" s="10">
        <v>0</v>
      </c>
      <c r="Q9" s="10">
        <v>0</v>
      </c>
      <c r="R9" s="13">
        <v>121500</v>
      </c>
      <c r="S9" s="13">
        <v>121500</v>
      </c>
      <c r="T9" s="11">
        <v>17728.72</v>
      </c>
      <c r="U9" s="11">
        <v>0</v>
      </c>
      <c r="V9" s="13">
        <v>46351.695338779435</v>
      </c>
      <c r="W9" s="11">
        <v>0</v>
      </c>
      <c r="X9" s="13">
        <v>64080.415338779436</v>
      </c>
      <c r="Y9" s="14">
        <v>57419.584661220564</v>
      </c>
      <c r="Z9" s="15">
        <f>SUM(Y9/S9%)</f>
        <v>47.25891741664244</v>
      </c>
      <c r="AA9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Mithil Pai</dc:creator>
  <cp:lastModifiedBy>Mithil Pai</cp:lastModifiedBy>
  <dcterms:created xsi:type="dcterms:W3CDTF">2026-05-15T03:11:21Z</dcterms:created>
  <dcterms:modified xsi:type="dcterms:W3CDTF">2026-05-15T03:22:12Z</dcterms:modified>
</cp:coreProperties>
</file>