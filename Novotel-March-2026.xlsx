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3031\Documents\"/>
    </mc:Choice>
  </mc:AlternateContent>
  <xr:revisionPtr revIDLastSave="0" documentId="13_ncr:1_{60C9D105-C7F6-4DDC-9415-51FDE5D5AA68}" xr6:coauthVersionLast="47" xr6:coauthVersionMax="47" xr10:uidLastSave="{00000000-0000-0000-0000-000000000000}"/>
  <bookViews>
    <workbookView xWindow="-120" yWindow="-120" windowWidth="29040" windowHeight="17520" xr2:uid="{E82819E8-EFF0-4774-BA8F-CEEEEB2C5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<sst xmlns="http://schemas.openxmlformats.org/spreadsheetml/2006/main" count="58" uniqueCount="37">
  <si>
    <t>Model</t>
  </si>
  <si>
    <t>Opening KMS</t>
  </si>
  <si>
    <t>Closing KMS</t>
  </si>
  <si>
    <t>Total KMS</t>
  </si>
  <si>
    <t>STR Kms</t>
  </si>
  <si>
    <t>NRK</t>
  </si>
  <si>
    <t>Total Revenue</t>
  </si>
  <si>
    <t>Repair Cost</t>
  </si>
  <si>
    <t>EMI</t>
  </si>
  <si>
    <t>Profit %</t>
  </si>
  <si>
    <t>Branch</t>
  </si>
  <si>
    <t>Year</t>
  </si>
  <si>
    <t>Month</t>
  </si>
  <si>
    <t>March</t>
  </si>
  <si>
    <t>MH02FG5321</t>
  </si>
  <si>
    <t>CRYSTA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</si>
  <si>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</si>
  <si>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</si>
  <si>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</si>
  <si>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</si>
  <si>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</si>
  <si>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</si>
  <si>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</si>
  <si>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Novotel</t>
  </si>
  <si>
    <t>Sr. No</t>
  </si>
  <si>
    <t>Registration Number</t>
  </si>
  <si>
    <t>Registration Date</t>
  </si>
  <si>
    <t>CD Kms</t>
  </si>
  <si>
    <t>SD Kms</t>
  </si>
  <si>
    <t>Revenue KMS</t>
  </si>
  <si>
    <t>CD Revenue</t>
  </si>
  <si>
    <t>SD Revenue</t>
  </si>
  <si>
    <t>STR Revenue</t>
  </si>
  <si>
    <t>Fuel Cost</t>
  </si>
  <si>
    <t>Chauffeur Cost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</si>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</sst>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1E58-506D-4963-B32C-2A140D164FEA}">
  <dimension ref="A1:Z9"/>
  <sheetViews>
    <sheetView tabSelected="1" workbookViewId="0">
      <selection activeCell="G18" sqref="G18"/>
    </sheetView>
  </sheetViews>
  <sheetFormatPr defaultRowHeight="15" x14ac:dyDescent="0.25"/>
  <cols>
    <col min="1" max="1" width="6.28515625" bestFit="1" customWidth="1"/>
    <col min="2" max="2" width="8.28515625" bestFit="1" customWidth="1"/>
    <col min="3" max="3" width="6.5703125" bestFit="1" customWidth="1"/>
    <col min="4" max="4" width="5" bestFit="1" customWidth="1"/>
    <col min="5" max="5" width="19.42578125" bestFit="1" customWidth="1"/>
    <col min="6" max="6" width="8.85546875" bestFit="1" customWidth="1"/>
    <col min="7" max="7" width="16.140625" bestFit="1" customWidth="1"/>
    <col min="8" max="8" width="12.5703125" bestFit="1" customWidth="1"/>
    <col min="9" max="9" width="11.7109375" bestFit="1" customWidth="1"/>
    <col min="10" max="10" width="9.5703125" bestFit="1" customWidth="1"/>
    <col min="11" max="11" width="7.7109375" bestFit="1" customWidth="1"/>
    <col min="12" max="12" width="7.5703125" bestFit="1" customWidth="1"/>
    <col min="13" max="13" width="8.42578125" bestFit="1" customWidth="1"/>
    <col min="14" max="14" width="12.42578125" bestFit="1" customWidth="1"/>
    <col min="15" max="15" width="5" bestFit="1" customWidth="1"/>
    <col min="16" max="16" width="11.140625" bestFit="1" customWidth="1"/>
    <col min="17" max="17" width="11" bestFit="1" customWidth="1"/>
    <col min="18" max="18" width="11.85546875" bestFit="1" customWidth="1"/>
    <col min="19" max="19" width="13.28515625" bestFit="1" customWidth="1"/>
    <col min="20" max="20" width="9" bestFit="1" customWidth="1"/>
    <col min="21" max="21" width="11" bestFit="1" customWidth="1"/>
    <col min="22" max="22" width="14" bestFit="1" customWidth="1"/>
    <col min="23" max="23" width="7" bestFit="1" customWidth="1"/>
    <col min="24" max="24" width="12" bestFit="1" customWidth="1"/>
    <col min="25" max="25" width="7" bestFit="1" customWidth="1"/>
    <col min="26" max="26" width="7.7109375" bestFit="1" customWidth="1"/>
  </cols>
  <sheetData>
    <row r="1" spans="1:26" x14ac:dyDescent="0.25">
      <c r="A1" t="s">
        <v>24</v>
      </c>
      <c r="B1" t="s">
        <v>10</v>
      </c>
      <c r="C1" t="s">
        <v>12</v>
      </c>
      <c r="D1" t="s">
        <v>11</v>
      </c>
      <c r="E1" t="s">
        <v>25</v>
      </c>
      <c r="F1" t="s">
        <v>0</v>
      </c>
      <c r="G1" t="s">
        <v>26</v>
      </c>
      <c r="H1" t="s">
        <v>1</v>
      </c>
      <c r="I1" t="s">
        <v>2</v>
      </c>
      <c r="J1" t="s">
        <v>3</v>
      </c>
      <c r="K1" t="s">
        <v>27</v>
      </c>
      <c r="L1" t="s">
        <v>28</v>
      </c>
      <c r="M1" t="s">
        <v>4</v>
      </c>
      <c r="N1" t="s">
        <v>29</v>
      </c>
      <c r="O1" t="s">
        <v>5</v>
      </c>
      <c r="P1" t="s">
        <v>30</v>
      </c>
      <c r="Q1" t="s">
        <v>31</v>
      </c>
      <c r="R1" t="s">
        <v>32</v>
      </c>
      <c r="S1" t="s">
        <v>6</v>
      </c>
      <c r="T1" t="s">
        <v>33</v>
      </c>
      <c r="U1" t="s">
        <v>7</v>
      </c>
      <c r="V1" t="s">
        <v>34</v>
      </c>
      <c r="W1" t="s">
        <v>8</v>
      </c>
      <c r="X1" t="s">
        <v>35</v>
      </c>
      <c r="Y1" t="s">
        <v>36</v>
      </c>
      <c r="Z1" t="s">
        <v>9</v>
      </c>
    </row>
    <row r="2" spans="1:26" x14ac:dyDescent="0.25">
      <c r="A2">
        <v>1</v>
      </c>
      <c r="B2" t="s">
        <v>23</v>
      </c>
      <c r="C2" t="s">
        <v>13</v>
      </c>
      <c r="D2">
        <v>2026</v>
      </c>
      <c r="E2" t="s">
        <v>14</v>
      </c>
      <c r="F2" t="s">
        <v>15</v>
      </c>
      <c r="G2" s="1">
        <f ca="1">TODAY()-RANDBETWEEN(365,365*2)</f>
        <v>45460</v>
      </c>
      <c r="H2">
        <v>79190</v>
      </c>
      <c r="I2">
        <v>80470</v>
      </c>
      <c r="J2">
        <v>1280</v>
      </c>
      <c r="K2">
        <v>0</v>
      </c>
      <c r="L2">
        <v>0</v>
      </c>
      <c r="M2">
        <v>1253</v>
      </c>
      <c r="N2">
        <v>1253</v>
      </c>
      <c r="O2">
        <v>0</v>
      </c>
      <c r="P2">
        <v>0</v>
      </c>
      <c r="Q2">
        <v>0</v>
      </c>
      <c r="R2">
        <v>126300</v>
      </c>
      <c r="S2">
        <v>126300</v>
      </c>
      <c r="T2">
        <v>14092</v>
      </c>
      <c r="U2">
        <v>22178</v>
      </c>
      <c r="V2">
        <v>50387.879913251782</v>
      </c>
      <c r="W2">
        <v>0</v>
      </c>
      <c r="X2">
        <v>86657.879910000003</v>
      </c>
      <c r="Y2">
        <v>39642</v>
      </c>
      <c r="Z2">
        <v>31.39</v>
      </c>
    </row>
    <row r="3" spans="1:26" x14ac:dyDescent="0.25">
      <c r="A3">
        <v>2</v>
      </c>
      <c r="B3" t="s">
        <v>23</v>
      </c>
      <c r="C3" t="s">
        <v>13</v>
      </c>
      <c r="D3">
        <v>2026</v>
      </c>
      <c r="E3" t="s">
        <v>16</v>
      </c>
      <c r="F3" t="s">
        <v>15</v>
      </c>
      <c r="G3" s="1">
        <f t="shared" ref="G3:G9" ca="1" si="0">TODAY()-RANDBETWEEN(365,365*2)</f>
        <v>45663</v>
      </c>
      <c r="H3">
        <v>76180</v>
      </c>
      <c r="I3">
        <v>78473</v>
      </c>
      <c r="J3">
        <v>2293</v>
      </c>
      <c r="K3">
        <v>0</v>
      </c>
      <c r="L3">
        <v>0</v>
      </c>
      <c r="M3">
        <v>2291</v>
      </c>
      <c r="N3">
        <v>2291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26002</v>
      </c>
      <c r="U3">
        <v>0</v>
      </c>
      <c r="V3">
        <v>53858.779004663425</v>
      </c>
      <c r="W3">
        <v>0</v>
      </c>
      <c r="X3">
        <v>79860.778999999995</v>
      </c>
      <c r="Y3">
        <v>55139</v>
      </c>
      <c r="Z3">
        <v>40.840000000000003</v>
      </c>
    </row>
    <row r="4" spans="1:26" x14ac:dyDescent="0.25">
      <c r="A4">
        <v>3</v>
      </c>
      <c r="B4" t="s">
        <v>23</v>
      </c>
      <c r="C4" t="s">
        <v>13</v>
      </c>
      <c r="D4">
        <v>2026</v>
      </c>
      <c r="E4" t="s">
        <v>17</v>
      </c>
      <c r="F4" t="s">
        <v>15</v>
      </c>
      <c r="G4" s="1">
        <f t="shared" ca="1" si="0"/>
        <v>45649</v>
      </c>
      <c r="H4">
        <v>93327</v>
      </c>
      <c r="I4">
        <v>95707</v>
      </c>
      <c r="J4">
        <v>2380</v>
      </c>
      <c r="K4">
        <v>0</v>
      </c>
      <c r="L4">
        <v>0</v>
      </c>
      <c r="M4">
        <v>2380</v>
      </c>
      <c r="N4">
        <v>2380</v>
      </c>
      <c r="O4">
        <v>0</v>
      </c>
      <c r="P4">
        <v>0</v>
      </c>
      <c r="Q4">
        <v>0</v>
      </c>
      <c r="R4">
        <v>135000</v>
      </c>
      <c r="S4">
        <v>135000</v>
      </c>
      <c r="T4">
        <v>25034</v>
      </c>
      <c r="U4">
        <v>0</v>
      </c>
      <c r="V4">
        <v>53858.779004663425</v>
      </c>
      <c r="W4">
        <v>0</v>
      </c>
      <c r="X4">
        <v>78892.778999999995</v>
      </c>
      <c r="Y4">
        <v>56107</v>
      </c>
      <c r="Z4">
        <v>41.56</v>
      </c>
    </row>
    <row r="5" spans="1:26" x14ac:dyDescent="0.25">
      <c r="A5">
        <v>4</v>
      </c>
      <c r="B5" t="s">
        <v>23</v>
      </c>
      <c r="C5" t="s">
        <v>13</v>
      </c>
      <c r="D5">
        <v>2026</v>
      </c>
      <c r="E5" t="s">
        <v>18</v>
      </c>
      <c r="F5" t="s">
        <v>15</v>
      </c>
      <c r="G5" s="1">
        <f t="shared" ca="1" si="0"/>
        <v>45518</v>
      </c>
      <c r="H5">
        <v>102201</v>
      </c>
      <c r="I5">
        <v>104253</v>
      </c>
      <c r="J5">
        <v>2052</v>
      </c>
      <c r="K5">
        <v>0</v>
      </c>
      <c r="L5">
        <v>0</v>
      </c>
      <c r="M5">
        <v>2040</v>
      </c>
      <c r="N5">
        <v>2040</v>
      </c>
      <c r="O5">
        <v>0</v>
      </c>
      <c r="P5">
        <v>0</v>
      </c>
      <c r="Q5">
        <v>0</v>
      </c>
      <c r="R5">
        <v>130645</v>
      </c>
      <c r="S5">
        <v>130645</v>
      </c>
      <c r="T5">
        <v>18300</v>
      </c>
      <c r="U5">
        <v>16481</v>
      </c>
      <c r="V5">
        <v>52121.334689364834</v>
      </c>
      <c r="W5">
        <v>0</v>
      </c>
      <c r="X5">
        <v>86902</v>
      </c>
      <c r="Y5">
        <v>43743</v>
      </c>
      <c r="Z5">
        <v>33.479999999999997</v>
      </c>
    </row>
    <row r="6" spans="1:26" x14ac:dyDescent="0.25">
      <c r="A6">
        <v>5</v>
      </c>
      <c r="B6" t="s">
        <v>23</v>
      </c>
      <c r="C6" t="s">
        <v>13</v>
      </c>
      <c r="D6">
        <v>2026</v>
      </c>
      <c r="E6" t="s">
        <v>19</v>
      </c>
      <c r="F6" t="s">
        <v>15</v>
      </c>
      <c r="G6" s="1">
        <f t="shared" ca="1" si="0"/>
        <v>45471</v>
      </c>
      <c r="H6">
        <v>95486</v>
      </c>
      <c r="I6">
        <v>97669</v>
      </c>
      <c r="J6">
        <v>2183</v>
      </c>
      <c r="K6">
        <v>0</v>
      </c>
      <c r="L6">
        <v>0</v>
      </c>
      <c r="M6">
        <v>2183</v>
      </c>
      <c r="N6">
        <v>2183</v>
      </c>
      <c r="O6">
        <v>0</v>
      </c>
      <c r="P6">
        <v>0</v>
      </c>
      <c r="Q6">
        <v>0</v>
      </c>
      <c r="R6">
        <v>135000</v>
      </c>
      <c r="S6">
        <v>135000</v>
      </c>
      <c r="T6">
        <v>20688</v>
      </c>
      <c r="U6">
        <v>2900</v>
      </c>
      <c r="V6">
        <v>53858.779004663425</v>
      </c>
      <c r="W6">
        <v>0</v>
      </c>
      <c r="X6">
        <v>77447</v>
      </c>
      <c r="Y6">
        <v>57553</v>
      </c>
      <c r="Z6">
        <v>42.63</v>
      </c>
    </row>
    <row r="7" spans="1:26" x14ac:dyDescent="0.25">
      <c r="A7">
        <v>6</v>
      </c>
      <c r="B7" t="s">
        <v>23</v>
      </c>
      <c r="C7" t="s">
        <v>13</v>
      </c>
      <c r="D7">
        <v>2026</v>
      </c>
      <c r="E7" t="s">
        <v>20</v>
      </c>
      <c r="F7" t="s">
        <v>15</v>
      </c>
      <c r="G7" s="1">
        <f t="shared" ca="1" si="0"/>
        <v>45429</v>
      </c>
      <c r="H7">
        <v>98229</v>
      </c>
      <c r="I7">
        <v>100171</v>
      </c>
      <c r="J7">
        <v>1942</v>
      </c>
      <c r="K7">
        <v>0</v>
      </c>
      <c r="L7">
        <v>0</v>
      </c>
      <c r="M7">
        <v>1913</v>
      </c>
      <c r="N7">
        <v>1913</v>
      </c>
      <c r="O7">
        <v>0</v>
      </c>
      <c r="P7">
        <v>0</v>
      </c>
      <c r="Q7">
        <v>0</v>
      </c>
      <c r="R7">
        <v>130645</v>
      </c>
      <c r="S7">
        <v>130645</v>
      </c>
      <c r="T7">
        <v>21713</v>
      </c>
      <c r="U7">
        <v>16884</v>
      </c>
      <c r="V7">
        <v>52121.334689364834</v>
      </c>
      <c r="W7">
        <v>0</v>
      </c>
      <c r="X7">
        <v>90718</v>
      </c>
      <c r="Y7">
        <v>39927</v>
      </c>
      <c r="Z7">
        <v>30.56</v>
      </c>
    </row>
    <row r="8" spans="1:26" x14ac:dyDescent="0.25">
      <c r="A8">
        <v>7</v>
      </c>
      <c r="B8" t="s">
        <v>23</v>
      </c>
      <c r="C8" t="s">
        <v>13</v>
      </c>
      <c r="D8">
        <v>2026</v>
      </c>
      <c r="E8" t="s">
        <v>21</v>
      </c>
      <c r="F8" t="s">
        <v>15</v>
      </c>
      <c r="G8" s="1">
        <f t="shared" ca="1" si="0"/>
        <v>45583</v>
      </c>
      <c r="H8">
        <v>88062</v>
      </c>
      <c r="I8">
        <v>89845</v>
      </c>
      <c r="J8">
        <v>1783</v>
      </c>
      <c r="K8">
        <v>0</v>
      </c>
      <c r="L8">
        <v>0</v>
      </c>
      <c r="M8">
        <v>1782</v>
      </c>
      <c r="N8">
        <v>1782</v>
      </c>
      <c r="O8">
        <v>0</v>
      </c>
      <c r="P8">
        <v>0</v>
      </c>
      <c r="Q8">
        <v>0</v>
      </c>
      <c r="R8">
        <v>130645</v>
      </c>
      <c r="S8">
        <v>130645</v>
      </c>
      <c r="T8">
        <v>24831</v>
      </c>
      <c r="U8">
        <v>15796</v>
      </c>
      <c r="V8">
        <v>52121.334689364834</v>
      </c>
      <c r="W8">
        <v>0</v>
      </c>
      <c r="X8">
        <v>92748.334690000003</v>
      </c>
      <c r="Y8">
        <v>37897</v>
      </c>
      <c r="Z8">
        <v>29.01</v>
      </c>
    </row>
    <row r="9" spans="1:26" x14ac:dyDescent="0.25">
      <c r="A9">
        <v>8</v>
      </c>
      <c r="B9" t="s">
        <v>23</v>
      </c>
      <c r="C9" t="s">
        <v>13</v>
      </c>
      <c r="D9">
        <v>2026</v>
      </c>
      <c r="E9" t="s">
        <v>22</v>
      </c>
      <c r="F9" t="s">
        <v>15</v>
      </c>
      <c r="G9" s="1">
        <f t="shared" ca="1" si="0"/>
        <v>45730</v>
      </c>
      <c r="H9">
        <v>101386</v>
      </c>
      <c r="I9">
        <v>104002</v>
      </c>
      <c r="J9">
        <v>2616</v>
      </c>
      <c r="K9">
        <v>0</v>
      </c>
      <c r="L9">
        <v>0</v>
      </c>
      <c r="M9">
        <v>2616</v>
      </c>
      <c r="N9">
        <v>2616</v>
      </c>
      <c r="O9">
        <v>0</v>
      </c>
      <c r="P9">
        <v>0</v>
      </c>
      <c r="Q9">
        <v>0</v>
      </c>
      <c r="R9">
        <v>135000</v>
      </c>
      <c r="S9">
        <v>135000</v>
      </c>
      <c r="T9">
        <v>24018</v>
      </c>
      <c r="U9">
        <v>11950</v>
      </c>
      <c r="V9">
        <v>53858.779004663425</v>
      </c>
      <c r="W9">
        <v>0</v>
      </c>
      <c r="X9">
        <v>89826.778999999995</v>
      </c>
      <c r="Y9">
        <v>45173</v>
      </c>
      <c r="Z9">
        <v>33.46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3d603e-d82e-4c08-9a69-c3b6219285ab}" enabled="1" method="Privileged" siteId="{66a92d0f-8ca8-403c-84e6-5503c56439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Pai, Kush</dc:creator>
  <cp:lastModifiedBy>Pai, Kush</cp:lastModifiedBy>
  <dcterms:created xsi:type="dcterms:W3CDTF">2026-05-09T09:33:48Z</dcterms:created>
  <dcterms:modified xsi:type="dcterms:W3CDTF">2026-05-10T15:30:21Z</dcterms:modified>
</cp:coreProperties>
</file>