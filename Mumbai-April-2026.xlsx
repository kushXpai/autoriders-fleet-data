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amzan_27122023\Desktop\"/>
    </mc:Choice>
  </mc:AlternateContent>
  <bookViews>
    <workbookView xWindow="0" yWindow="660" windowWidth="20490" windowHeight="7095"/>
  </bookViews>
  <sheets>
    <sheet name="April 2026" sheetId="115" r:id="rId1"/>
  </sheets>
  <calcPr calcId="162913"/>
  <fileRecoveryPr autoRecover="0" repairLoad="1"/>
</workbook>
</file>

<file path=xl/calcChain.xml><?xml version="1.0" encoding="utf-8"?>
<calcChain xmlns="http://schemas.openxmlformats.org/spreadsheetml/2006/main">
  <c r="Y61" i="115" l="1"/>
  <c r="Z68" i="115"/>
  <c r="AA68" i="115" s="1"/>
  <c r="S31" i="115" l="1"/>
  <c r="S71" i="115" s="1"/>
  <c r="N31" i="115"/>
  <c r="T41" i="115"/>
  <c r="K65" i="115"/>
  <c r="O67" i="115"/>
  <c r="O66" i="115"/>
  <c r="K67" i="115"/>
  <c r="K66" i="115"/>
  <c r="O65" i="115"/>
  <c r="O41" i="115" l="1"/>
  <c r="K41" i="115"/>
  <c r="Q57" i="115"/>
  <c r="T57" i="115" s="1"/>
  <c r="L57" i="115"/>
  <c r="O57" i="115" s="1"/>
  <c r="O85" i="115"/>
  <c r="O84" i="115"/>
  <c r="O83" i="115"/>
  <c r="O82" i="115"/>
  <c r="O81" i="115"/>
  <c r="O80" i="115"/>
  <c r="O79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T56" i="115"/>
  <c r="T55" i="115"/>
  <c r="T54" i="115"/>
  <c r="T53" i="115"/>
  <c r="T52" i="115"/>
  <c r="T51" i="115"/>
  <c r="T50" i="115"/>
  <c r="T49" i="115"/>
  <c r="T48" i="115"/>
  <c r="T47" i="115"/>
  <c r="T46" i="115"/>
  <c r="T45" i="115"/>
  <c r="T44" i="115"/>
  <c r="T43" i="115"/>
  <c r="T42" i="115"/>
  <c r="T40" i="115"/>
  <c r="T39" i="115"/>
  <c r="T38" i="115"/>
  <c r="T37" i="115"/>
  <c r="T36" i="115"/>
  <c r="T35" i="115"/>
  <c r="T34" i="115"/>
  <c r="T33" i="115"/>
  <c r="T32" i="115"/>
  <c r="T31" i="115"/>
  <c r="T30" i="115"/>
  <c r="T29" i="115"/>
  <c r="T28" i="115"/>
  <c r="T27" i="115"/>
  <c r="T26" i="115"/>
  <c r="T25" i="115"/>
  <c r="T24" i="115"/>
  <c r="T23" i="115"/>
  <c r="T22" i="115"/>
  <c r="T21" i="115"/>
  <c r="T20" i="115"/>
  <c r="T19" i="115"/>
  <c r="T18" i="115"/>
  <c r="T17" i="115"/>
  <c r="T16" i="115"/>
  <c r="T15" i="115"/>
  <c r="T14" i="115"/>
  <c r="T13" i="115"/>
  <c r="T12" i="115"/>
  <c r="T11" i="115"/>
  <c r="T10" i="115"/>
  <c r="T9" i="115"/>
  <c r="T8" i="115"/>
  <c r="T7" i="115"/>
  <c r="T6" i="115"/>
  <c r="T5" i="115"/>
  <c r="O70" i="115"/>
  <c r="O69" i="115"/>
  <c r="O68" i="115"/>
  <c r="O64" i="115"/>
  <c r="O63" i="115"/>
  <c r="O62" i="115"/>
  <c r="O61" i="115"/>
  <c r="O60" i="115"/>
  <c r="O59" i="115"/>
  <c r="O58" i="115"/>
  <c r="O56" i="115"/>
  <c r="O55" i="115"/>
  <c r="O54" i="115"/>
  <c r="O53" i="115"/>
  <c r="O52" i="115"/>
  <c r="O51" i="115"/>
  <c r="O50" i="115"/>
  <c r="O49" i="115"/>
  <c r="O48" i="115"/>
  <c r="O47" i="115"/>
  <c r="O46" i="115"/>
  <c r="O45" i="115"/>
  <c r="O44" i="115"/>
  <c r="O43" i="115"/>
  <c r="O42" i="115"/>
  <c r="O40" i="115"/>
  <c r="O39" i="115"/>
  <c r="O38" i="115"/>
  <c r="O37" i="115"/>
  <c r="O36" i="115"/>
  <c r="O35" i="115"/>
  <c r="O34" i="115"/>
  <c r="O33" i="115"/>
  <c r="O32" i="115"/>
  <c r="O31" i="115"/>
  <c r="O30" i="115"/>
  <c r="O29" i="115"/>
  <c r="O28" i="115"/>
  <c r="O27" i="115"/>
  <c r="O26" i="115"/>
  <c r="O25" i="115"/>
  <c r="O24" i="115"/>
  <c r="O23" i="115"/>
  <c r="O22" i="115"/>
  <c r="O21" i="115"/>
  <c r="O20" i="115"/>
  <c r="O19" i="115"/>
  <c r="O18" i="115"/>
  <c r="O17" i="115"/>
  <c r="O16" i="115"/>
  <c r="O15" i="115"/>
  <c r="O14" i="115"/>
  <c r="O13" i="115"/>
  <c r="O12" i="115"/>
  <c r="O11" i="115"/>
  <c r="O10" i="115"/>
  <c r="O9" i="115"/>
  <c r="O8" i="115"/>
  <c r="O7" i="115"/>
  <c r="O6" i="115"/>
  <c r="O5" i="115"/>
  <c r="O71" i="115"/>
  <c r="W89" i="115"/>
  <c r="X86" i="115"/>
  <c r="V86" i="115"/>
  <c r="U86" i="115"/>
  <c r="S86" i="115"/>
  <c r="R86" i="115"/>
  <c r="Q86" i="115"/>
  <c r="N86" i="115"/>
  <c r="L86" i="115"/>
  <c r="H86" i="115"/>
  <c r="T85" i="115"/>
  <c r="K85" i="115"/>
  <c r="T84" i="115"/>
  <c r="K84" i="115"/>
  <c r="T83" i="115"/>
  <c r="K83" i="115"/>
  <c r="T82" i="115"/>
  <c r="K82" i="115"/>
  <c r="T81" i="115"/>
  <c r="K81" i="115"/>
  <c r="T80" i="115"/>
  <c r="K80" i="115"/>
  <c r="T79" i="115"/>
  <c r="K79" i="115"/>
  <c r="T78" i="115"/>
  <c r="O78" i="115"/>
  <c r="K78" i="115"/>
  <c r="X71" i="115"/>
  <c r="V71" i="115"/>
  <c r="U71" i="115"/>
  <c r="R71" i="115"/>
  <c r="K70" i="115"/>
  <c r="K69" i="115"/>
  <c r="K68" i="115"/>
  <c r="K64" i="115"/>
  <c r="K63" i="115"/>
  <c r="K62" i="115"/>
  <c r="K61" i="115"/>
  <c r="K60" i="115"/>
  <c r="K59" i="115"/>
  <c r="K58" i="115"/>
  <c r="K57" i="115"/>
  <c r="K56" i="115"/>
  <c r="K55" i="115"/>
  <c r="K54" i="115"/>
  <c r="K53" i="115"/>
  <c r="K52" i="115"/>
  <c r="K51" i="115"/>
  <c r="K50" i="115"/>
  <c r="K49" i="115"/>
  <c r="K48" i="115"/>
  <c r="K47" i="115"/>
  <c r="K46" i="115"/>
  <c r="K45" i="115"/>
  <c r="K44" i="115"/>
  <c r="K43" i="115"/>
  <c r="K42" i="115"/>
  <c r="K40" i="115"/>
  <c r="K39" i="115"/>
  <c r="K38" i="115"/>
  <c r="K37" i="115"/>
  <c r="K36" i="115"/>
  <c r="K35" i="115"/>
  <c r="K34" i="115"/>
  <c r="K33" i="115"/>
  <c r="K32" i="115"/>
  <c r="K31" i="115"/>
  <c r="K30" i="115"/>
  <c r="K29" i="115"/>
  <c r="K28" i="115"/>
  <c r="K27" i="115"/>
  <c r="K26" i="115"/>
  <c r="K25" i="115"/>
  <c r="K24" i="115"/>
  <c r="K23" i="115"/>
  <c r="K22" i="115"/>
  <c r="K21" i="115"/>
  <c r="K20" i="115"/>
  <c r="K19" i="115"/>
  <c r="K18" i="115"/>
  <c r="K17" i="115"/>
  <c r="K16" i="115"/>
  <c r="K15" i="115"/>
  <c r="K14" i="115"/>
  <c r="K13" i="115"/>
  <c r="K12" i="115"/>
  <c r="K11" i="115"/>
  <c r="K10" i="115"/>
  <c r="K9" i="115"/>
  <c r="K8" i="115"/>
  <c r="K7" i="115"/>
  <c r="K6" i="115"/>
  <c r="K5" i="115"/>
  <c r="P14" i="115" l="1"/>
  <c r="P41" i="115"/>
  <c r="P84" i="115"/>
  <c r="P80" i="115"/>
  <c r="P69" i="115"/>
  <c r="P9" i="115"/>
  <c r="P17" i="115"/>
  <c r="P33" i="115"/>
  <c r="P44" i="115"/>
  <c r="P48" i="115"/>
  <c r="P51" i="115"/>
  <c r="P55" i="115"/>
  <c r="P59" i="115"/>
  <c r="P63" i="115"/>
  <c r="P66" i="115"/>
  <c r="P70" i="115"/>
  <c r="P81" i="115"/>
  <c r="P85" i="115"/>
  <c r="U89" i="115"/>
  <c r="P82" i="115"/>
  <c r="P49" i="115"/>
  <c r="P68" i="115"/>
  <c r="P79" i="115"/>
  <c r="P83" i="115"/>
  <c r="P26" i="115"/>
  <c r="P30" i="115"/>
  <c r="P34" i="115"/>
  <c r="P38" i="115"/>
  <c r="P42" i="115"/>
  <c r="P52" i="115"/>
  <c r="P56" i="115"/>
  <c r="P60" i="115"/>
  <c r="P64" i="115"/>
  <c r="P67" i="115"/>
  <c r="P15" i="115"/>
  <c r="P27" i="115"/>
  <c r="P35" i="115"/>
  <c r="P39" i="115"/>
  <c r="P53" i="115"/>
  <c r="P57" i="115"/>
  <c r="P61" i="115"/>
  <c r="P28" i="115"/>
  <c r="P32" i="115"/>
  <c r="P40" i="115"/>
  <c r="P43" i="115"/>
  <c r="P47" i="115"/>
  <c r="P50" i="115"/>
  <c r="P58" i="115"/>
  <c r="P62" i="115"/>
  <c r="P65" i="115"/>
  <c r="P54" i="115"/>
  <c r="P7" i="115"/>
  <c r="P37" i="115"/>
  <c r="P46" i="115"/>
  <c r="P19" i="115"/>
  <c r="P18" i="115"/>
  <c r="P45" i="115"/>
  <c r="P16" i="115"/>
  <c r="P13" i="115"/>
  <c r="P12" i="115"/>
  <c r="P29" i="115"/>
  <c r="P8" i="115"/>
  <c r="P36" i="115"/>
  <c r="P22" i="115"/>
  <c r="P24" i="115"/>
  <c r="P20" i="115"/>
  <c r="P31" i="115"/>
  <c r="P21" i="115"/>
  <c r="P23" i="115"/>
  <c r="P11" i="115"/>
  <c r="P25" i="115"/>
  <c r="P5" i="115"/>
  <c r="P6" i="115"/>
  <c r="P10" i="115"/>
  <c r="V89" i="115"/>
  <c r="O86" i="115"/>
  <c r="W85" i="115"/>
  <c r="Y85" i="115" s="1"/>
  <c r="Z85" i="115" s="1"/>
  <c r="AA85" i="115" s="1"/>
  <c r="W81" i="115"/>
  <c r="Y81" i="115" s="1"/>
  <c r="Z81" i="115" s="1"/>
  <c r="AA81" i="115" s="1"/>
  <c r="W78" i="115"/>
  <c r="Y78" i="115" s="1"/>
  <c r="Z78" i="115" s="1"/>
  <c r="Q71" i="115"/>
  <c r="T71" i="115" s="1"/>
  <c r="W84" i="115"/>
  <c r="Y84" i="115" s="1"/>
  <c r="Z84" i="115" s="1"/>
  <c r="AA84" i="115" s="1"/>
  <c r="W80" i="115"/>
  <c r="Y80" i="115" s="1"/>
  <c r="Z80" i="115" s="1"/>
  <c r="AA80" i="115" s="1"/>
  <c r="W83" i="115"/>
  <c r="Y83" i="115" s="1"/>
  <c r="Z83" i="115" s="1"/>
  <c r="AA83" i="115" s="1"/>
  <c r="W79" i="115"/>
  <c r="Y79" i="115" s="1"/>
  <c r="Z79" i="115" s="1"/>
  <c r="AA79" i="115" s="1"/>
  <c r="W82" i="115"/>
  <c r="Y82" i="115" s="1"/>
  <c r="Z82" i="115" s="1"/>
  <c r="AA82" i="115" s="1"/>
  <c r="T86" i="115"/>
  <c r="V87" i="115" s="1"/>
  <c r="X89" i="115"/>
  <c r="P78" i="115"/>
  <c r="P86" i="115" l="1"/>
  <c r="W41" i="115"/>
  <c r="Y41" i="115" s="1"/>
  <c r="Z41" i="115" s="1"/>
  <c r="AA41" i="115" s="1"/>
  <c r="W5" i="115"/>
  <c r="Y5" i="115" s="1"/>
  <c r="W69" i="115"/>
  <c r="Y69" i="115" s="1"/>
  <c r="Z69" i="115" s="1"/>
  <c r="AA69" i="115" s="1"/>
  <c r="W65" i="115"/>
  <c r="Y65" i="115" s="1"/>
  <c r="Z65" i="115" s="1"/>
  <c r="AA65" i="115" s="1"/>
  <c r="W62" i="115"/>
  <c r="Y62" i="115" s="1"/>
  <c r="Z62" i="115" s="1"/>
  <c r="AA62" i="115" s="1"/>
  <c r="W58" i="115"/>
  <c r="Y58" i="115" s="1"/>
  <c r="Z58" i="115" s="1"/>
  <c r="AA58" i="115" s="1"/>
  <c r="W54" i="115"/>
  <c r="Y54" i="115" s="1"/>
  <c r="Z54" i="115" s="1"/>
  <c r="AA54" i="115" s="1"/>
  <c r="W50" i="115"/>
  <c r="Y50" i="115" s="1"/>
  <c r="Z50" i="115" s="1"/>
  <c r="AA50" i="115" s="1"/>
  <c r="W47" i="115"/>
  <c r="Y47" i="115" s="1"/>
  <c r="Z47" i="115" s="1"/>
  <c r="AA47" i="115" s="1"/>
  <c r="W43" i="115"/>
  <c r="Y43" i="115" s="1"/>
  <c r="Z43" i="115" s="1"/>
  <c r="AA43" i="115" s="1"/>
  <c r="W40" i="115"/>
  <c r="Y40" i="115" s="1"/>
  <c r="Z40" i="115" s="1"/>
  <c r="AA40" i="115" s="1"/>
  <c r="W36" i="115"/>
  <c r="Y36" i="115" s="1"/>
  <c r="Z36" i="115" s="1"/>
  <c r="AA36" i="115" s="1"/>
  <c r="W32" i="115"/>
  <c r="Y32" i="115" s="1"/>
  <c r="Z32" i="115" s="1"/>
  <c r="AA32" i="115" s="1"/>
  <c r="W28" i="115"/>
  <c r="Y28" i="115" s="1"/>
  <c r="Z28" i="115" s="1"/>
  <c r="AA28" i="115" s="1"/>
  <c r="W24" i="115"/>
  <c r="Y24" i="115" s="1"/>
  <c r="Z24" i="115" s="1"/>
  <c r="AA24" i="115" s="1"/>
  <c r="W20" i="115"/>
  <c r="Y20" i="115" s="1"/>
  <c r="Z20" i="115" s="1"/>
  <c r="AA20" i="115" s="1"/>
  <c r="W16" i="115"/>
  <c r="Y16" i="115" s="1"/>
  <c r="Z16" i="115" s="1"/>
  <c r="AA16" i="115" s="1"/>
  <c r="W12" i="115"/>
  <c r="Y12" i="115" s="1"/>
  <c r="Z12" i="115" s="1"/>
  <c r="AA12" i="115" s="1"/>
  <c r="W8" i="115"/>
  <c r="Y8" i="115" s="1"/>
  <c r="Z8" i="115" s="1"/>
  <c r="AA8" i="115" s="1"/>
  <c r="W66" i="115"/>
  <c r="Y66" i="115" s="1"/>
  <c r="Z66" i="115" s="1"/>
  <c r="AA66" i="115" s="1"/>
  <c r="W37" i="115"/>
  <c r="Y37" i="115" s="1"/>
  <c r="Z37" i="115" s="1"/>
  <c r="AA37" i="115" s="1"/>
  <c r="W25" i="115"/>
  <c r="Y25" i="115" s="1"/>
  <c r="Z25" i="115" s="1"/>
  <c r="AA25" i="115" s="1"/>
  <c r="W13" i="115"/>
  <c r="Y13" i="115" s="1"/>
  <c r="Z13" i="115" s="1"/>
  <c r="AA13" i="115" s="1"/>
  <c r="W68" i="115"/>
  <c r="Y68" i="115" s="1"/>
  <c r="W61" i="115"/>
  <c r="Z61" i="115" s="1"/>
  <c r="AA61" i="115" s="1"/>
  <c r="W57" i="115"/>
  <c r="Y57" i="115" s="1"/>
  <c r="Z57" i="115" s="1"/>
  <c r="AA57" i="115" s="1"/>
  <c r="W53" i="115"/>
  <c r="Y53" i="115" s="1"/>
  <c r="Z53" i="115" s="1"/>
  <c r="AA53" i="115" s="1"/>
  <c r="W49" i="115"/>
  <c r="Y49" i="115" s="1"/>
  <c r="Z49" i="115" s="1"/>
  <c r="AA49" i="115" s="1"/>
  <c r="W46" i="115"/>
  <c r="Y46" i="115" s="1"/>
  <c r="Z46" i="115" s="1"/>
  <c r="AA46" i="115" s="1"/>
  <c r="W39" i="115"/>
  <c r="Y39" i="115" s="1"/>
  <c r="Z39" i="115" s="1"/>
  <c r="AA39" i="115" s="1"/>
  <c r="W35" i="115"/>
  <c r="Y35" i="115" s="1"/>
  <c r="Z35" i="115" s="1"/>
  <c r="AA35" i="115" s="1"/>
  <c r="W31" i="115"/>
  <c r="Y31" i="115" s="1"/>
  <c r="Z31" i="115" s="1"/>
  <c r="AA31" i="115" s="1"/>
  <c r="W27" i="115"/>
  <c r="Y27" i="115" s="1"/>
  <c r="Z27" i="115" s="1"/>
  <c r="AA27" i="115" s="1"/>
  <c r="W23" i="115"/>
  <c r="Y23" i="115" s="1"/>
  <c r="Z23" i="115" s="1"/>
  <c r="AA23" i="115" s="1"/>
  <c r="W19" i="115"/>
  <c r="Y19" i="115" s="1"/>
  <c r="Z19" i="115" s="1"/>
  <c r="AA19" i="115" s="1"/>
  <c r="W15" i="115"/>
  <c r="Y15" i="115" s="1"/>
  <c r="Z15" i="115" s="1"/>
  <c r="AA15" i="115" s="1"/>
  <c r="W11" i="115"/>
  <c r="Y11" i="115" s="1"/>
  <c r="Z11" i="115" s="1"/>
  <c r="AA11" i="115" s="1"/>
  <c r="W7" i="115"/>
  <c r="Y7" i="115" s="1"/>
  <c r="Z7" i="115" s="1"/>
  <c r="AA7" i="115" s="1"/>
  <c r="W70" i="115"/>
  <c r="Y70" i="115" s="1"/>
  <c r="Z70" i="115" s="1"/>
  <c r="AA70" i="115" s="1"/>
  <c r="W59" i="115"/>
  <c r="Y59" i="115" s="1"/>
  <c r="Z59" i="115" s="1"/>
  <c r="AA59" i="115" s="1"/>
  <c r="W51" i="115"/>
  <c r="Y51" i="115" s="1"/>
  <c r="Z51" i="115" s="1"/>
  <c r="AA51" i="115" s="1"/>
  <c r="W44" i="115"/>
  <c r="Y44" i="115" s="1"/>
  <c r="Z44" i="115" s="1"/>
  <c r="AA44" i="115" s="1"/>
  <c r="W33" i="115"/>
  <c r="Y33" i="115" s="1"/>
  <c r="Z33" i="115" s="1"/>
  <c r="AA33" i="115" s="1"/>
  <c r="W21" i="115"/>
  <c r="Y21" i="115" s="1"/>
  <c r="Z21" i="115" s="1"/>
  <c r="AA21" i="115" s="1"/>
  <c r="W67" i="115"/>
  <c r="Y67" i="115" s="1"/>
  <c r="Z67" i="115" s="1"/>
  <c r="AA67" i="115" s="1"/>
  <c r="W64" i="115"/>
  <c r="Y64" i="115" s="1"/>
  <c r="Z64" i="115" s="1"/>
  <c r="AA64" i="115" s="1"/>
  <c r="W60" i="115"/>
  <c r="Y60" i="115" s="1"/>
  <c r="Z60" i="115" s="1"/>
  <c r="AA60" i="115" s="1"/>
  <c r="W56" i="115"/>
  <c r="Y56" i="115" s="1"/>
  <c r="Z56" i="115" s="1"/>
  <c r="AA56" i="115" s="1"/>
  <c r="W52" i="115"/>
  <c r="Y52" i="115" s="1"/>
  <c r="Z52" i="115" s="1"/>
  <c r="AA52" i="115" s="1"/>
  <c r="W45" i="115"/>
  <c r="Y45" i="115" s="1"/>
  <c r="Z45" i="115" s="1"/>
  <c r="AA45" i="115" s="1"/>
  <c r="W42" i="115"/>
  <c r="Y42" i="115" s="1"/>
  <c r="Z42" i="115" s="1"/>
  <c r="AA42" i="115" s="1"/>
  <c r="W38" i="115"/>
  <c r="Y38" i="115" s="1"/>
  <c r="Z38" i="115" s="1"/>
  <c r="AA38" i="115" s="1"/>
  <c r="W34" i="115"/>
  <c r="Y34" i="115" s="1"/>
  <c r="Z34" i="115" s="1"/>
  <c r="AA34" i="115" s="1"/>
  <c r="W30" i="115"/>
  <c r="Y30" i="115" s="1"/>
  <c r="Z30" i="115" s="1"/>
  <c r="AA30" i="115" s="1"/>
  <c r="W26" i="115"/>
  <c r="Y26" i="115" s="1"/>
  <c r="Z26" i="115" s="1"/>
  <c r="AA26" i="115" s="1"/>
  <c r="W22" i="115"/>
  <c r="Y22" i="115" s="1"/>
  <c r="Z22" i="115" s="1"/>
  <c r="AA22" i="115" s="1"/>
  <c r="W18" i="115"/>
  <c r="Y18" i="115" s="1"/>
  <c r="Z18" i="115" s="1"/>
  <c r="AA18" i="115" s="1"/>
  <c r="W14" i="115"/>
  <c r="Y14" i="115" s="1"/>
  <c r="Z14" i="115" s="1"/>
  <c r="AA14" i="115" s="1"/>
  <c r="W10" i="115"/>
  <c r="Y10" i="115" s="1"/>
  <c r="Z10" i="115" s="1"/>
  <c r="AA10" i="115" s="1"/>
  <c r="W6" i="115"/>
  <c r="Y6" i="115" s="1"/>
  <c r="Z6" i="115" s="1"/>
  <c r="AA6" i="115" s="1"/>
  <c r="W63" i="115"/>
  <c r="Y63" i="115" s="1"/>
  <c r="Z63" i="115" s="1"/>
  <c r="AA63" i="115" s="1"/>
  <c r="W55" i="115"/>
  <c r="Y55" i="115" s="1"/>
  <c r="Z55" i="115" s="1"/>
  <c r="AA55" i="115" s="1"/>
  <c r="W48" i="115"/>
  <c r="Y48" i="115" s="1"/>
  <c r="Z48" i="115" s="1"/>
  <c r="AA48" i="115" s="1"/>
  <c r="W29" i="115"/>
  <c r="Y29" i="115" s="1"/>
  <c r="Z29" i="115" s="1"/>
  <c r="AA29" i="115" s="1"/>
  <c r="W17" i="115"/>
  <c r="Y17" i="115" s="1"/>
  <c r="Z17" i="115" s="1"/>
  <c r="AA17" i="115" s="1"/>
  <c r="W9" i="115"/>
  <c r="Y9" i="115" s="1"/>
  <c r="Z9" i="115" s="1"/>
  <c r="AA9" i="115" s="1"/>
  <c r="P71" i="115"/>
  <c r="U72" i="115"/>
  <c r="Y86" i="115"/>
  <c r="Z86" i="115"/>
  <c r="AA86" i="115" s="1"/>
  <c r="AA78" i="115"/>
  <c r="W87" i="115"/>
  <c r="X87" i="115"/>
  <c r="U87" i="115"/>
  <c r="Y71" i="115" l="1"/>
  <c r="Z5" i="115"/>
  <c r="W72" i="115"/>
  <c r="T89" i="115"/>
  <c r="V72" i="115"/>
  <c r="X72" i="115"/>
  <c r="Y89" i="115" l="1"/>
  <c r="Z89" i="115" s="1"/>
  <c r="U90" i="115"/>
  <c r="W90" i="115"/>
  <c r="V90" i="115"/>
  <c r="X90" i="115"/>
  <c r="Z71" i="115"/>
  <c r="AA5" i="115"/>
  <c r="AA71" i="115" l="1"/>
  <c r="AA72" i="115"/>
  <c r="M86" i="115"/>
</calcChain>
</file>

<file path=xl/sharedStrings.xml><?xml version="1.0" encoding="utf-8"?>
<sst xmlns="http://schemas.openxmlformats.org/spreadsheetml/2006/main" count="374" uniqueCount="168">
  <si>
    <t>MUMBAI</t>
  </si>
  <si>
    <t>Sr.
No.</t>
  </si>
  <si>
    <t>Registration No.</t>
  </si>
  <si>
    <t>Model</t>
  </si>
  <si>
    <t>FLEET</t>
  </si>
  <si>
    <t>Opening KMS</t>
  </si>
  <si>
    <t>Closing KMS</t>
  </si>
  <si>
    <t>Total KMS</t>
  </si>
  <si>
    <t>CD- Kms</t>
  </si>
  <si>
    <t>SD - Kms/ Unbilled kms</t>
  </si>
  <si>
    <t>STR Kms</t>
  </si>
  <si>
    <t>REVENUE KMS</t>
  </si>
  <si>
    <t>NRK</t>
  </si>
  <si>
    <t>CD REVENUE</t>
  </si>
  <si>
    <t>SD REVENUE</t>
  </si>
  <si>
    <t>S.T.R. REVENUE</t>
  </si>
  <si>
    <t>Total Revenue</t>
  </si>
  <si>
    <t>Fuel cost</t>
  </si>
  <si>
    <t>Repair Cost</t>
  </si>
  <si>
    <t>Chauff.cost</t>
  </si>
  <si>
    <t>EMI</t>
  </si>
  <si>
    <t>TOTAL COST</t>
  </si>
  <si>
    <t>PROFIT</t>
  </si>
  <si>
    <t>Profit %</t>
  </si>
  <si>
    <t>CRYSTA</t>
  </si>
  <si>
    <t>MH02ER8594</t>
  </si>
  <si>
    <t>MH02FG0375</t>
  </si>
  <si>
    <t>MH02FG7118</t>
  </si>
  <si>
    <t>MH02FG7121</t>
  </si>
  <si>
    <t>MH02FG7122</t>
  </si>
  <si>
    <t>NOVOTEL</t>
  </si>
  <si>
    <t>SD - Kms</t>
  </si>
  <si>
    <t>TOTAL REVENUE KMS</t>
  </si>
  <si>
    <t>MH02FG1526</t>
  </si>
  <si>
    <t>MH02FG1528</t>
  </si>
  <si>
    <t>Cd+STR+SD</t>
  </si>
  <si>
    <t>Fuel</t>
  </si>
  <si>
    <t>Repairs</t>
  </si>
  <si>
    <t>%</t>
  </si>
  <si>
    <t>MH02FG7271</t>
  </si>
  <si>
    <t>MH02FG7270</t>
  </si>
  <si>
    <t>Crysta</t>
  </si>
  <si>
    <t>MH02FG8019</t>
  </si>
  <si>
    <t>MH02FG8382</t>
  </si>
  <si>
    <t>HR38AD1224</t>
  </si>
  <si>
    <t>MH02FG9266</t>
  </si>
  <si>
    <t>MH02FG9286</t>
  </si>
  <si>
    <t>MH02FG4093</t>
  </si>
  <si>
    <t>MH02FG9384</t>
  </si>
  <si>
    <t>MH02FX0936</t>
  </si>
  <si>
    <t>BYD</t>
  </si>
  <si>
    <t>MH02FX1097</t>
  </si>
  <si>
    <t>Hycross</t>
  </si>
  <si>
    <t>MH02FX1145</t>
  </si>
  <si>
    <t>MH02FG1940</t>
  </si>
  <si>
    <t>MH02FG7558</t>
  </si>
  <si>
    <t>MH02FX1988</t>
  </si>
  <si>
    <t>MH02FG2306</t>
  </si>
  <si>
    <t>MH02ER7924</t>
  </si>
  <si>
    <t>MH02FG2305</t>
  </si>
  <si>
    <t>DZIRE</t>
  </si>
  <si>
    <t>MH02FG0615</t>
  </si>
  <si>
    <t>MH02FG4391</t>
  </si>
  <si>
    <t>MH02ER9654</t>
  </si>
  <si>
    <t>MH02FG0595</t>
  </si>
  <si>
    <t>MH02FX4654</t>
  </si>
  <si>
    <t>MH02FX4656</t>
  </si>
  <si>
    <t>MH02FX5714</t>
  </si>
  <si>
    <t>MH02FG4094</t>
  </si>
  <si>
    <t>MH02FG4103</t>
  </si>
  <si>
    <t>MH02FG7818</t>
  </si>
  <si>
    <t>Merc E</t>
  </si>
  <si>
    <t>MH02ER8934</t>
  </si>
  <si>
    <t>MH02ER8936</t>
  </si>
  <si>
    <t>MH02FG5321</t>
  </si>
  <si>
    <t>MH02FG5397</t>
  </si>
  <si>
    <t>MH02FG5322</t>
  </si>
  <si>
    <t>MH02FG5536</t>
  </si>
  <si>
    <t>MH02FG7941</t>
  </si>
  <si>
    <t>MH02GH0148</t>
  </si>
  <si>
    <t>CITRON</t>
  </si>
  <si>
    <t>MH02GH0149</t>
  </si>
  <si>
    <t>MH02GH0376</t>
  </si>
  <si>
    <t>INVICTO</t>
  </si>
  <si>
    <t>MH02GH0379</t>
  </si>
  <si>
    <t>MH02FG4095</t>
  </si>
  <si>
    <t>MH02FG5396</t>
  </si>
  <si>
    <t>MH02GH1218</t>
  </si>
  <si>
    <t>HYRIDER</t>
  </si>
  <si>
    <t>MH02GH1811</t>
  </si>
  <si>
    <t>CAMRY</t>
  </si>
  <si>
    <t>MH02GH2433</t>
  </si>
  <si>
    <t>MH02GH2432</t>
  </si>
  <si>
    <t>XUV 400</t>
  </si>
  <si>
    <t>MH02GH2835</t>
  </si>
  <si>
    <t>MH02GH2836</t>
  </si>
  <si>
    <t>MH02GH2837</t>
  </si>
  <si>
    <t>URBANIA</t>
  </si>
  <si>
    <t>MH02GH3618</t>
  </si>
  <si>
    <t>MH02GH4410</t>
  </si>
  <si>
    <t>MH02GH4411</t>
  </si>
  <si>
    <t>MH02GH4412</t>
  </si>
  <si>
    <t>MH02GH6363</t>
  </si>
  <si>
    <t>MH02FG5319</t>
  </si>
  <si>
    <t>MH02GH6037</t>
  </si>
  <si>
    <t>MH02GH6513</t>
  </si>
  <si>
    <t>MH02GH6514</t>
  </si>
  <si>
    <t>MH02GH6720</t>
  </si>
  <si>
    <t>MH02GH8023</t>
  </si>
  <si>
    <t>MH02GH8024</t>
  </si>
  <si>
    <t>MG EV</t>
  </si>
  <si>
    <t>MH02FG7557</t>
  </si>
  <si>
    <t>MH02FG7602</t>
  </si>
  <si>
    <t>MH02FX3979</t>
  </si>
  <si>
    <t>MH02GH7946</t>
  </si>
  <si>
    <t>MH02GS1897</t>
  </si>
  <si>
    <t>MH02GS1898</t>
  </si>
  <si>
    <t>Operational Profitability - April 2026</t>
  </si>
  <si>
    <t>MP09AW5417</t>
  </si>
  <si>
    <t>Branch</t>
  </si>
  <si>
    <t>Month</t>
  </si>
  <si>
    <t>Year</t>
  </si>
  <si>
    <t>Regd Date</t>
  </si>
  <si>
    <t>Mumbai</t>
  </si>
  <si>
    <t xml:space="preserve">April </t>
  </si>
  <si>
    <t>27.04.2019</t>
  </si>
  <si>
    <t>09.12.2019</t>
  </si>
  <si>
    <t>02.03.2023</t>
  </si>
  <si>
    <t>19.12.2023</t>
  </si>
  <si>
    <t>30.06.2025</t>
  </si>
  <si>
    <t>09.07.2025</t>
  </si>
  <si>
    <t>27.04.2023</t>
  </si>
  <si>
    <t>05.02.2019</t>
  </si>
  <si>
    <t>30.03.2019</t>
  </si>
  <si>
    <t>06.09.2019</t>
  </si>
  <si>
    <t>01.10.2019</t>
  </si>
  <si>
    <t>09.02.2021</t>
  </si>
  <si>
    <t>12.04.2022</t>
  </si>
  <si>
    <t>19.07.2022</t>
  </si>
  <si>
    <t>22.08.2022</t>
  </si>
  <si>
    <t>28.10.2022</t>
  </si>
  <si>
    <t>01.10.2021</t>
  </si>
  <si>
    <t>21.10.2021</t>
  </si>
  <si>
    <t>25.03.2021</t>
  </si>
  <si>
    <t>21.09.2021</t>
  </si>
  <si>
    <t>12.07.2022</t>
  </si>
  <si>
    <t>31.10.2024</t>
  </si>
  <si>
    <t>27.02.2025</t>
  </si>
  <si>
    <t>17.10.2023</t>
  </si>
  <si>
    <t>15.02.2023</t>
  </si>
  <si>
    <t>01.11.2022</t>
  </si>
  <si>
    <t>06.03.2023</t>
  </si>
  <si>
    <t>27.05.2025</t>
  </si>
  <si>
    <t>06.08.2024</t>
  </si>
  <si>
    <t>16.08.2024</t>
  </si>
  <si>
    <t>07.06.2022</t>
  </si>
  <si>
    <t>09.03.2020</t>
  </si>
  <si>
    <t>08.10.2024</t>
  </si>
  <si>
    <t>29.11.2024</t>
  </si>
  <si>
    <t>23.12.2024</t>
  </si>
  <si>
    <t>22.01.2025</t>
  </si>
  <si>
    <t>28.06.2022</t>
  </si>
  <si>
    <t>18.08.2022</t>
  </si>
  <si>
    <t>15.01.2020</t>
  </si>
  <si>
    <t>10.02.2020</t>
  </si>
  <si>
    <t>10.09.2025</t>
  </si>
  <si>
    <t>16.03.2026</t>
  </si>
  <si>
    <t>30.07.2024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</si>
</sst>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0_);[Red]\(0\)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0" fontId="1" fillId="0" borderId="0"/>
    <xf numFmtId="0" fontId="3" fillId="0" borderId="0">
      <alignment vertical="top"/>
    </xf>
    <xf numFmtId="0" fontId="14" fillId="0" borderId="0"/>
    <xf numFmtId="0" fontId="5" fillId="0" borderId="0"/>
    <xf numFmtId="0" fontId="15" fillId="0" borderId="0"/>
  </cellStyleXfs>
  <cellXfs count="120">
    <xf numFmtId="0" fontId="0" fillId="0" borderId="0" xfId="0"/>
    <xf numFmtId="1" fontId="4" fillId="0" borderId="1" xfId="0" applyNumberFormat="1" applyFont="1" applyBorder="1" applyAlignment="1">
      <alignment wrapText="1"/>
    </xf>
    <xf numFmtId="1" fontId="9" fillId="3" borderId="1" xfId="0" applyNumberFormat="1" applyFont="1" applyFill="1" applyBorder="1" applyAlignment="1">
      <alignment vertical="top" wrapText="1"/>
    </xf>
    <xf numFmtId="1" fontId="4" fillId="0" borderId="2" xfId="0" applyNumberFormat="1" applyFont="1" applyBorder="1" applyAlignment="1">
      <alignment wrapText="1"/>
    </xf>
    <xf numFmtId="0" fontId="4" fillId="0" borderId="2" xfId="0" applyFont="1" applyBorder="1" applyAlignment="1"/>
    <xf numFmtId="0" fontId="4" fillId="0" borderId="1" xfId="0" applyFont="1" applyBorder="1" applyAlignment="1"/>
    <xf numFmtId="1" fontId="4" fillId="0" borderId="1" xfId="0" applyNumberFormat="1" applyFont="1" applyBorder="1" applyAlignment="1"/>
    <xf numFmtId="0" fontId="9" fillId="0" borderId="1" xfId="0" applyFont="1" applyBorder="1" applyAlignment="1"/>
    <xf numFmtId="0" fontId="4" fillId="0" borderId="0" xfId="0" applyFont="1" applyAlignment="1"/>
    <xf numFmtId="1" fontId="8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top"/>
    </xf>
    <xf numFmtId="1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1" fontId="6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6" fillId="0" borderId="13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49" fontId="7" fillId="0" borderId="6" xfId="0" applyNumberFormat="1" applyFont="1" applyBorder="1" applyAlignment="1">
      <alignment vertical="top"/>
    </xf>
    <xf numFmtId="49" fontId="7" fillId="0" borderId="6" xfId="0" applyNumberFormat="1" applyFont="1" applyBorder="1" applyAlignment="1">
      <alignment vertical="top" wrapText="1"/>
    </xf>
    <xf numFmtId="1" fontId="4" fillId="0" borderId="2" xfId="0" applyNumberFormat="1" applyFont="1" applyBorder="1" applyAlignment="1">
      <alignment vertical="top" wrapText="1"/>
    </xf>
    <xf numFmtId="1" fontId="4" fillId="0" borderId="2" xfId="0" applyNumberFormat="1" applyFont="1" applyBorder="1" applyAlignment="1">
      <alignment vertical="top"/>
    </xf>
    <xf numFmtId="1" fontId="4" fillId="0" borderId="2" xfId="0" applyNumberFormat="1" applyFont="1" applyFill="1" applyBorder="1" applyAlignment="1"/>
    <xf numFmtId="1" fontId="8" fillId="0" borderId="2" xfId="3" applyNumberFormat="1" applyFont="1" applyBorder="1" applyAlignment="1">
      <alignment vertical="top"/>
    </xf>
    <xf numFmtId="1" fontId="4" fillId="2" borderId="2" xfId="0" applyNumberFormat="1" applyFont="1" applyFill="1" applyBorder="1" applyAlignment="1">
      <alignment vertical="top"/>
    </xf>
    <xf numFmtId="1" fontId="9" fillId="0" borderId="2" xfId="0" applyNumberFormat="1" applyFont="1" applyBorder="1" applyAlignment="1">
      <alignment vertical="top"/>
    </xf>
    <xf numFmtId="1" fontId="8" fillId="0" borderId="2" xfId="0" applyNumberFormat="1" applyFont="1" applyBorder="1" applyAlignment="1">
      <alignment vertical="top"/>
    </xf>
    <xf numFmtId="1" fontId="10" fillId="0" borderId="2" xfId="0" applyNumberFormat="1" applyFont="1" applyBorder="1" applyAlignment="1">
      <alignment vertical="top"/>
    </xf>
    <xf numFmtId="3" fontId="8" fillId="0" borderId="0" xfId="0" applyNumberFormat="1" applyFont="1" applyBorder="1" applyAlignment="1">
      <alignment vertical="top"/>
    </xf>
    <xf numFmtId="0" fontId="8" fillId="0" borderId="0" xfId="0" applyFont="1" applyBorder="1" applyAlignment="1">
      <alignment vertical="top"/>
    </xf>
    <xf numFmtId="1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/>
    </xf>
    <xf numFmtId="1" fontId="4" fillId="0" borderId="1" xfId="0" applyNumberFormat="1" applyFont="1" applyFill="1" applyBorder="1" applyAlignment="1"/>
    <xf numFmtId="1" fontId="8" fillId="0" borderId="1" xfId="3" applyNumberFormat="1" applyFont="1" applyBorder="1" applyAlignment="1">
      <alignment vertical="top"/>
    </xf>
    <xf numFmtId="1" fontId="4" fillId="2" borderId="1" xfId="0" applyNumberFormat="1" applyFont="1" applyFill="1" applyBorder="1" applyAlignment="1">
      <alignment vertical="top"/>
    </xf>
    <xf numFmtId="1" fontId="9" fillId="0" borderId="1" xfId="0" applyNumberFormat="1" applyFont="1" applyBorder="1" applyAlignment="1">
      <alignment vertical="top"/>
    </xf>
    <xf numFmtId="1" fontId="4" fillId="0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>
      <alignment vertical="top" wrapText="1"/>
    </xf>
    <xf numFmtId="2" fontId="4" fillId="0" borderId="0" xfId="0" applyNumberFormat="1" applyFont="1" applyAlignment="1">
      <alignment vertical="top"/>
    </xf>
    <xf numFmtId="0" fontId="4" fillId="0" borderId="0" xfId="0" applyFont="1" applyBorder="1" applyAlignment="1">
      <alignment vertical="top"/>
    </xf>
    <xf numFmtId="3" fontId="8" fillId="0" borderId="0" xfId="3" applyNumberFormat="1" applyFont="1" applyBorder="1" applyAlignment="1">
      <alignment vertical="top"/>
    </xf>
    <xf numFmtId="0" fontId="8" fillId="0" borderId="0" xfId="3" applyFont="1" applyBorder="1" applyAlignment="1">
      <alignment vertical="top"/>
    </xf>
    <xf numFmtId="1" fontId="9" fillId="2" borderId="1" xfId="0" applyNumberFormat="1" applyFont="1" applyFill="1" applyBorder="1" applyAlignment="1">
      <alignment vertical="top"/>
    </xf>
    <xf numFmtId="1" fontId="8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2" fontId="4" fillId="0" borderId="1" xfId="0" applyNumberFormat="1" applyFont="1" applyFill="1" applyBorder="1" applyAlignment="1"/>
    <xf numFmtId="1" fontId="9" fillId="3" borderId="1" xfId="0" applyNumberFormat="1" applyFont="1" applyFill="1" applyBorder="1" applyAlignment="1">
      <alignment vertical="top"/>
    </xf>
    <xf numFmtId="0" fontId="4" fillId="0" borderId="1" xfId="0" applyFont="1" applyFill="1" applyBorder="1" applyAlignment="1"/>
    <xf numFmtId="1" fontId="4" fillId="0" borderId="10" xfId="0" applyNumberFormat="1" applyFont="1" applyBorder="1" applyAlignment="1">
      <alignment vertical="top" wrapText="1"/>
    </xf>
    <xf numFmtId="1" fontId="8" fillId="0" borderId="1" xfId="0" applyNumberFormat="1" applyFont="1" applyBorder="1" applyAlignment="1">
      <alignment vertical="top" wrapText="1"/>
    </xf>
    <xf numFmtId="2" fontId="4" fillId="0" borderId="22" xfId="0" applyNumberFormat="1" applyFont="1" applyBorder="1" applyAlignment="1">
      <alignment vertical="top"/>
    </xf>
    <xf numFmtId="0" fontId="4" fillId="0" borderId="22" xfId="0" applyFont="1" applyBorder="1" applyAlignment="1">
      <alignment vertical="top"/>
    </xf>
    <xf numFmtId="1" fontId="7" fillId="0" borderId="1" xfId="0" applyNumberFormat="1" applyFont="1" applyBorder="1" applyAlignment="1">
      <alignment vertical="top"/>
    </xf>
    <xf numFmtId="1" fontId="11" fillId="0" borderId="1" xfId="0" applyNumberFormat="1" applyFont="1" applyBorder="1" applyAlignment="1">
      <alignment vertical="top"/>
    </xf>
    <xf numFmtId="2" fontId="6" fillId="0" borderId="1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vertical="top"/>
    </xf>
    <xf numFmtId="1" fontId="9" fillId="0" borderId="0" xfId="0" applyNumberFormat="1" applyFont="1" applyBorder="1" applyAlignment="1">
      <alignment vertical="top"/>
    </xf>
    <xf numFmtId="2" fontId="6" fillId="2" borderId="0" xfId="0" applyNumberFormat="1" applyFont="1" applyFill="1" applyBorder="1" applyAlignment="1">
      <alignment vertical="top"/>
    </xf>
    <xf numFmtId="2" fontId="6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vertical="top"/>
    </xf>
    <xf numFmtId="1" fontId="8" fillId="0" borderId="0" xfId="3" applyNumberFormat="1" applyFont="1" applyAlignment="1">
      <alignment vertical="top"/>
    </xf>
    <xf numFmtId="164" fontId="6" fillId="0" borderId="0" xfId="1" applyFont="1" applyFill="1" applyBorder="1" applyAlignment="1">
      <alignment vertical="top"/>
    </xf>
    <xf numFmtId="2" fontId="6" fillId="0" borderId="0" xfId="0" applyNumberFormat="1" applyFont="1" applyAlignment="1">
      <alignment vertical="top"/>
    </xf>
    <xf numFmtId="164" fontId="13" fillId="0" borderId="0" xfId="1" applyFont="1" applyFill="1" applyBorder="1" applyAlignment="1">
      <alignment vertical="top"/>
    </xf>
    <xf numFmtId="0" fontId="12" fillId="0" borderId="0" xfId="0" applyFont="1" applyAlignment="1">
      <alignment vertical="top"/>
    </xf>
    <xf numFmtId="1" fontId="7" fillId="0" borderId="0" xfId="0" applyNumberFormat="1" applyFont="1" applyAlignment="1">
      <alignment vertical="top"/>
    </xf>
    <xf numFmtId="49" fontId="7" fillId="0" borderId="8" xfId="0" applyNumberFormat="1" applyFont="1" applyBorder="1" applyAlignment="1">
      <alignment vertical="top" wrapText="1"/>
    </xf>
    <xf numFmtId="49" fontId="7" fillId="0" borderId="5" xfId="0" applyNumberFormat="1" applyFont="1" applyBorder="1" applyAlignment="1">
      <alignment vertical="top" wrapText="1"/>
    </xf>
    <xf numFmtId="49" fontId="7" fillId="0" borderId="16" xfId="0" applyNumberFormat="1" applyFont="1" applyBorder="1" applyAlignment="1">
      <alignment vertical="top" wrapText="1"/>
    </xf>
    <xf numFmtId="49" fontId="7" fillId="0" borderId="13" xfId="0" applyNumberFormat="1" applyFont="1" applyBorder="1" applyAlignment="1">
      <alignment vertical="top" wrapText="1"/>
    </xf>
    <xf numFmtId="49" fontId="7" fillId="0" borderId="7" xfId="0" applyNumberFormat="1" applyFont="1" applyBorder="1" applyAlignment="1">
      <alignment vertical="top" wrapText="1"/>
    </xf>
    <xf numFmtId="1" fontId="10" fillId="0" borderId="1" xfId="0" applyNumberFormat="1" applyFont="1" applyBorder="1" applyAlignment="1">
      <alignment vertical="top"/>
    </xf>
    <xf numFmtId="1" fontId="7" fillId="0" borderId="0" xfId="0" applyNumberFormat="1" applyFont="1" applyBorder="1" applyAlignment="1">
      <alignment vertical="top"/>
    </xf>
    <xf numFmtId="2" fontId="6" fillId="0" borderId="3" xfId="0" applyNumberFormat="1" applyFont="1" applyBorder="1" applyAlignment="1">
      <alignment vertical="top"/>
    </xf>
    <xf numFmtId="1" fontId="6" fillId="0" borderId="3" xfId="0" applyNumberFormat="1" applyFont="1" applyBorder="1" applyAlignment="1">
      <alignment vertical="top"/>
    </xf>
    <xf numFmtId="1" fontId="13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2" fontId="4" fillId="0" borderId="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8" fillId="0" borderId="21" xfId="0" applyFont="1" applyBorder="1" applyAlignment="1"/>
    <xf numFmtId="0" fontId="8" fillId="0" borderId="19" xfId="0" applyFont="1" applyBorder="1" applyAlignment="1"/>
    <xf numFmtId="0" fontId="8" fillId="0" borderId="20" xfId="0" applyFont="1" applyBorder="1" applyAlignment="1"/>
    <xf numFmtId="0" fontId="4" fillId="0" borderId="0" xfId="0" applyFont="1" applyFill="1" applyBorder="1" applyAlignment="1"/>
    <xf numFmtId="0" fontId="10" fillId="0" borderId="19" xfId="0" applyFont="1" applyBorder="1" applyAlignment="1"/>
    <xf numFmtId="0" fontId="8" fillId="0" borderId="19" xfId="0" applyFont="1" applyBorder="1" applyAlignment="1">
      <alignment vertical="center"/>
    </xf>
    <xf numFmtId="0" fontId="9" fillId="0" borderId="0" xfId="0" applyFont="1" applyAlignment="1"/>
    <xf numFmtId="1" fontId="4" fillId="0" borderId="1" xfId="0" applyNumberFormat="1" applyFont="1" applyBorder="1" applyAlignment="1">
      <alignment vertical="top" wrapText="1"/>
    </xf>
    <xf numFmtId="165" fontId="10" fillId="0" borderId="1" xfId="0" applyNumberFormat="1" applyFont="1" applyBorder="1" applyAlignment="1">
      <alignment horizontal="right" vertical="top"/>
    </xf>
    <xf numFmtId="165" fontId="8" fillId="0" borderId="1" xfId="0" applyNumberFormat="1" applyFont="1" applyBorder="1" applyAlignment="1">
      <alignment horizontal="right" vertical="top"/>
    </xf>
    <xf numFmtId="2" fontId="6" fillId="2" borderId="1" xfId="0" applyNumberFormat="1" applyFont="1" applyFill="1" applyBorder="1" applyAlignment="1">
      <alignment vertical="top"/>
    </xf>
    <xf numFmtId="1" fontId="7" fillId="2" borderId="1" xfId="0" applyNumberFormat="1" applyFont="1" applyFill="1" applyBorder="1" applyAlignment="1">
      <alignment vertical="top"/>
    </xf>
    <xf numFmtId="1" fontId="8" fillId="0" borderId="2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vertical="center" wrapText="1"/>
    </xf>
    <xf numFmtId="1" fontId="8" fillId="0" borderId="2" xfId="0" applyNumberFormat="1" applyFont="1" applyBorder="1" applyAlignment="1">
      <alignment vertical="center"/>
    </xf>
    <xf numFmtId="1" fontId="8" fillId="0" borderId="1" xfId="0" applyNumberFormat="1" applyFont="1" applyBorder="1" applyAlignment="1">
      <alignment vertical="center"/>
    </xf>
    <xf numFmtId="1" fontId="4" fillId="0" borderId="3" xfId="0" applyNumberFormat="1" applyFont="1" applyBorder="1" applyAlignment="1">
      <alignment vertical="top" wrapText="1"/>
    </xf>
    <xf numFmtId="1" fontId="4" fillId="0" borderId="10" xfId="0" applyNumberFormat="1" applyFont="1" applyBorder="1" applyAlignment="1">
      <alignment vertical="top" wrapText="1"/>
    </xf>
    <xf numFmtId="1" fontId="4" fillId="0" borderId="2" xfId="0" applyNumberFormat="1" applyFont="1" applyBorder="1" applyAlignment="1">
      <alignment vertical="top" wrapText="1"/>
    </xf>
    <xf numFmtId="1" fontId="8" fillId="0" borderId="3" xfId="0" applyNumberFormat="1" applyFont="1" applyBorder="1" applyAlignment="1">
      <alignment vertical="top" wrapText="1"/>
    </xf>
    <xf numFmtId="1" fontId="8" fillId="0" borderId="10" xfId="0" applyNumberFormat="1" applyFont="1" applyBorder="1" applyAlignment="1">
      <alignment vertical="top" wrapText="1"/>
    </xf>
    <xf numFmtId="1" fontId="8" fillId="0" borderId="2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/>
    </xf>
    <xf numFmtId="1" fontId="8" fillId="0" borderId="1" xfId="0" applyNumberFormat="1" applyFont="1" applyBorder="1" applyAlignment="1">
      <alignment vertical="top"/>
    </xf>
    <xf numFmtId="1" fontId="4" fillId="0" borderId="1" xfId="0" applyNumberFormat="1" applyFont="1" applyBorder="1" applyAlignment="1">
      <alignment vertical="top" wrapText="1"/>
    </xf>
    <xf numFmtId="1" fontId="8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center" wrapText="1"/>
    </xf>
    <xf numFmtId="1" fontId="4" fillId="0" borderId="3" xfId="0" applyNumberFormat="1" applyFont="1" applyBorder="1" applyAlignment="1">
      <alignment vertical="top"/>
    </xf>
    <xf numFmtId="1" fontId="4" fillId="0" borderId="10" xfId="0" applyNumberFormat="1" applyFont="1" applyBorder="1" applyAlignment="1">
      <alignment vertical="top"/>
    </xf>
    <xf numFmtId="1" fontId="8" fillId="0" borderId="11" xfId="0" applyNumberFormat="1" applyFont="1" applyBorder="1" applyAlignment="1">
      <alignment horizontal="center" vertical="center" wrapText="1"/>
    </xf>
    <xf numFmtId="1" fontId="8" fillId="0" borderId="14" xfId="0" applyNumberFormat="1" applyFont="1" applyBorder="1" applyAlignment="1">
      <alignment horizontal="center" vertical="center" wrapText="1"/>
    </xf>
    <xf numFmtId="1" fontId="8" fillId="0" borderId="15" xfId="0" applyNumberFormat="1" applyFont="1" applyBorder="1" applyAlignment="1">
      <alignment horizontal="center" vertical="center" wrapText="1"/>
    </xf>
    <xf numFmtId="1" fontId="8" fillId="0" borderId="23" xfId="0" applyNumberFormat="1" applyFont="1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</cellXfs>
  <cellStyles count="8">
    <cellStyle name="Comma" xfId="1" builtinId="3"/>
    <cellStyle name="Comma 2" xfId="2"/>
    <cellStyle name="Normal" xfId="0" builtinId="0"/>
    <cellStyle name="Normal 18" xfId="3"/>
    <cellStyle name="Normal 2" xfId="4"/>
    <cellStyle name="Normal 2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"/>
  <sheetViews>
    <sheetView tabSelected="1" workbookViewId="0">
      <pane ySplit="4" topLeftCell="A5" activePane="bottomLeft" state="frozen"/>
      <selection pane="bottomLeft" activeCell="M70" sqref="M70"/>
    </sheetView>
  </sheetViews>
  <sheetFormatPr defaultColWidth="9.140625" defaultRowHeight="12.75" x14ac:dyDescent="0.25"/>
  <cols>
    <col min="1" max="1" width="4.28515625" style="10" customWidth="1"/>
    <col min="2" max="2" width="8.42578125" style="10" customWidth="1"/>
    <col min="3" max="3" width="6.28515625" style="10" bestFit="1" customWidth="1"/>
    <col min="4" max="4" width="5.5703125" style="10" customWidth="1"/>
    <col min="5" max="5" width="13.7109375" style="10" bestFit="1" customWidth="1"/>
    <col min="6" max="6" width="7.85546875" style="10" bestFit="1" customWidth="1"/>
    <col min="7" max="7" width="11.28515625" style="10" bestFit="1" customWidth="1"/>
    <col min="8" max="8" width="5.28515625" style="10" bestFit="1" customWidth="1"/>
    <col min="9" max="9" width="11.42578125" style="10" customWidth="1"/>
    <col min="10" max="10" width="10.28515625" style="10" customWidth="1"/>
    <col min="11" max="11" width="8.7109375" style="10" customWidth="1"/>
    <col min="12" max="12" width="7.42578125" style="10" customWidth="1"/>
    <col min="13" max="13" width="11.42578125" style="10" customWidth="1"/>
    <col min="14" max="14" width="9.7109375" style="10" customWidth="1"/>
    <col min="15" max="15" width="13.7109375" style="10" customWidth="1"/>
    <col min="16" max="16" width="10" style="10" customWidth="1"/>
    <col min="17" max="17" width="10.7109375" style="10" customWidth="1"/>
    <col min="18" max="18" width="10.5703125" style="10" customWidth="1"/>
    <col min="19" max="19" width="12.5703125" style="10" customWidth="1"/>
    <col min="20" max="20" width="12.140625" style="10" customWidth="1"/>
    <col min="21" max="21" width="9" style="10" customWidth="1"/>
    <col min="22" max="22" width="9.85546875" style="10" customWidth="1"/>
    <col min="23" max="23" width="9.5703125" style="10" customWidth="1"/>
    <col min="24" max="24" width="10.85546875" style="10" customWidth="1"/>
    <col min="25" max="25" width="11.140625" style="10" customWidth="1"/>
    <col min="26" max="26" width="10.140625" style="10" customWidth="1"/>
    <col min="27" max="27" width="11.7109375" style="10" customWidth="1"/>
    <col min="28" max="28" width="8.140625" style="10" customWidth="1"/>
    <col min="29" max="29" width="12.85546875" style="10" customWidth="1"/>
    <col min="30" max="16384" width="9.140625" style="10"/>
  </cols>
  <sheetData>
    <row r="1" spans="1:31" ht="13.5" thickBot="1" x14ac:dyDescent="0.3">
      <c r="T1" s="11"/>
    </row>
    <row r="2" spans="1:31" s="12" customFormat="1" ht="13.5" thickBot="1" x14ac:dyDescent="0.3">
      <c r="J2" s="13" t="s">
        <v>0</v>
      </c>
      <c r="K2" s="13"/>
      <c r="L2" s="14"/>
      <c r="M2" s="15" t="s">
        <v>117</v>
      </c>
      <c r="N2" s="15"/>
      <c r="O2" s="16"/>
      <c r="P2" s="17"/>
      <c r="R2" s="18"/>
      <c r="S2" s="18"/>
      <c r="T2" s="18"/>
      <c r="V2" s="19"/>
    </row>
    <row r="3" spans="1:31" s="12" customFormat="1" ht="13.5" thickBot="1" x14ac:dyDescent="0.3">
      <c r="V3" s="19"/>
    </row>
    <row r="4" spans="1:31" s="12" customFormat="1" ht="26.25" thickBot="1" x14ac:dyDescent="0.3">
      <c r="A4" s="20" t="s">
        <v>1</v>
      </c>
      <c r="B4" s="21" t="s">
        <v>119</v>
      </c>
      <c r="C4" s="21" t="s">
        <v>120</v>
      </c>
      <c r="D4" s="21" t="s">
        <v>121</v>
      </c>
      <c r="E4" s="22" t="s">
        <v>2</v>
      </c>
      <c r="F4" s="23" t="s">
        <v>3</v>
      </c>
      <c r="G4" s="23" t="s">
        <v>122</v>
      </c>
      <c r="H4" s="23" t="s">
        <v>4</v>
      </c>
      <c r="I4" s="24" t="s">
        <v>5</v>
      </c>
      <c r="J4" s="24" t="s">
        <v>6</v>
      </c>
      <c r="K4" s="24" t="s">
        <v>7</v>
      </c>
      <c r="L4" s="24" t="s">
        <v>8</v>
      </c>
      <c r="M4" s="24" t="s">
        <v>9</v>
      </c>
      <c r="N4" s="24" t="s">
        <v>10</v>
      </c>
      <c r="O4" s="24" t="s">
        <v>11</v>
      </c>
      <c r="P4" s="24" t="s">
        <v>12</v>
      </c>
      <c r="Q4" s="24" t="s">
        <v>13</v>
      </c>
      <c r="R4" s="24" t="s">
        <v>14</v>
      </c>
      <c r="S4" s="22" t="s">
        <v>15</v>
      </c>
      <c r="T4" s="24" t="s">
        <v>16</v>
      </c>
      <c r="U4" s="24" t="s">
        <v>17</v>
      </c>
      <c r="V4" s="24" t="s">
        <v>18</v>
      </c>
      <c r="W4" s="24" t="s">
        <v>19</v>
      </c>
      <c r="X4" s="24" t="s">
        <v>20</v>
      </c>
      <c r="Y4" s="24" t="s">
        <v>21</v>
      </c>
      <c r="Z4" s="24" t="s">
        <v>22</v>
      </c>
      <c r="AA4" s="16" t="s">
        <v>23</v>
      </c>
    </row>
    <row r="5" spans="1:31" s="12" customFormat="1" x14ac:dyDescent="0.2">
      <c r="A5" s="25">
        <v>1</v>
      </c>
      <c r="B5" s="25" t="s">
        <v>123</v>
      </c>
      <c r="C5" s="25" t="s">
        <v>124</v>
      </c>
      <c r="D5" s="25">
        <v>2026</v>
      </c>
      <c r="E5" s="26" t="s">
        <v>73</v>
      </c>
      <c r="F5" s="114" t="s">
        <v>41</v>
      </c>
      <c r="G5" s="85" t="s">
        <v>125</v>
      </c>
      <c r="H5" s="117">
        <v>37</v>
      </c>
      <c r="I5" s="27">
        <v>186447</v>
      </c>
      <c r="J5" s="27">
        <v>192391</v>
      </c>
      <c r="K5" s="28">
        <f t="shared" ref="K5:K64" si="0">J5-I5</f>
        <v>5944</v>
      </c>
      <c r="L5" s="29">
        <v>5820</v>
      </c>
      <c r="M5" s="29">
        <v>0</v>
      </c>
      <c r="N5" s="29">
        <v>0</v>
      </c>
      <c r="O5" s="28">
        <f>SUM(L5:N5)</f>
        <v>5820</v>
      </c>
      <c r="P5" s="28">
        <f>O5-K5</f>
        <v>-124</v>
      </c>
      <c r="Q5" s="30">
        <v>181866</v>
      </c>
      <c r="R5" s="29">
        <v>0</v>
      </c>
      <c r="S5" s="29">
        <v>0</v>
      </c>
      <c r="T5" s="31">
        <f>SUM(Q5:S5)</f>
        <v>181866</v>
      </c>
      <c r="U5" s="3">
        <v>52760.61</v>
      </c>
      <c r="V5" s="3">
        <v>27974.31</v>
      </c>
      <c r="W5" s="31">
        <f t="shared" ref="W5:W36" si="1">SUM(W$71/(Q$71+S$71)*(Q5+S5))</f>
        <v>39032.698763102475</v>
      </c>
      <c r="X5" s="3">
        <v>0</v>
      </c>
      <c r="Y5" s="31">
        <f t="shared" ref="Y5" si="2">SUM(U5:X5)</f>
        <v>119767.61876310248</v>
      </c>
      <c r="Z5" s="32">
        <f t="shared" ref="Z5" si="3">SUM(T5-Y5)</f>
        <v>62098.38123689752</v>
      </c>
      <c r="AA5" s="31">
        <f t="shared" ref="AA5" si="4">SUM(Z5/T5%)</f>
        <v>34.145129511232177</v>
      </c>
      <c r="AD5" s="33"/>
      <c r="AE5" s="34"/>
    </row>
    <row r="6" spans="1:31" s="12" customFormat="1" x14ac:dyDescent="0.2">
      <c r="A6" s="35">
        <v>2</v>
      </c>
      <c r="B6" s="25" t="s">
        <v>123</v>
      </c>
      <c r="C6" s="25" t="s">
        <v>124</v>
      </c>
      <c r="D6" s="25">
        <v>2026</v>
      </c>
      <c r="E6" s="36" t="s">
        <v>72</v>
      </c>
      <c r="F6" s="115"/>
      <c r="G6" s="86" t="s">
        <v>125</v>
      </c>
      <c r="H6" s="118"/>
      <c r="I6" s="37">
        <v>165856</v>
      </c>
      <c r="J6" s="37">
        <v>168679</v>
      </c>
      <c r="K6" s="38">
        <f t="shared" si="0"/>
        <v>2823</v>
      </c>
      <c r="L6" s="39">
        <v>2743</v>
      </c>
      <c r="M6" s="39">
        <v>0</v>
      </c>
      <c r="N6" s="39">
        <v>0</v>
      </c>
      <c r="O6" s="28">
        <f t="shared" ref="O6:O66" si="5">SUM(L6:N6)</f>
        <v>2743</v>
      </c>
      <c r="P6" s="28">
        <f t="shared" ref="P6:P66" si="6">O6-K6</f>
        <v>-80</v>
      </c>
      <c r="Q6" s="40">
        <v>131820</v>
      </c>
      <c r="R6" s="39">
        <v>0</v>
      </c>
      <c r="S6" s="39">
        <v>0</v>
      </c>
      <c r="T6" s="31">
        <f t="shared" ref="T6:T66" si="7">SUM(Q6:S6)</f>
        <v>131820</v>
      </c>
      <c r="U6" s="1">
        <v>25134.58</v>
      </c>
      <c r="V6" s="1">
        <v>0</v>
      </c>
      <c r="W6" s="31">
        <f t="shared" si="1"/>
        <v>28291.65622464984</v>
      </c>
      <c r="X6" s="1">
        <v>0</v>
      </c>
      <c r="Y6" s="31">
        <f t="shared" ref="Y6:Y66" si="8">SUM(U6:X6)</f>
        <v>53426.236224649838</v>
      </c>
      <c r="Z6" s="32">
        <f t="shared" ref="Z6:Z66" si="9">SUM(T6-Y6)</f>
        <v>78393.763775350162</v>
      </c>
      <c r="AA6" s="31">
        <f t="shared" ref="AA6:AA66" si="10">SUM(Z6/T6%)</f>
        <v>59.470310859771018</v>
      </c>
      <c r="AD6" s="33"/>
      <c r="AE6" s="34"/>
    </row>
    <row r="7" spans="1:31" s="12" customFormat="1" x14ac:dyDescent="0.2">
      <c r="A7" s="25">
        <v>3</v>
      </c>
      <c r="B7" s="25" t="s">
        <v>123</v>
      </c>
      <c r="C7" s="25" t="s">
        <v>124</v>
      </c>
      <c r="D7" s="25">
        <v>2026</v>
      </c>
      <c r="E7" s="36" t="s">
        <v>113</v>
      </c>
      <c r="F7" s="115"/>
      <c r="G7" s="86" t="s">
        <v>126</v>
      </c>
      <c r="H7" s="118"/>
      <c r="I7" s="37">
        <v>41362</v>
      </c>
      <c r="J7" s="37">
        <v>45312</v>
      </c>
      <c r="K7" s="38">
        <f t="shared" si="0"/>
        <v>3950</v>
      </c>
      <c r="L7" s="39">
        <v>4085</v>
      </c>
      <c r="M7" s="39">
        <v>0</v>
      </c>
      <c r="N7" s="39">
        <v>0</v>
      </c>
      <c r="O7" s="28">
        <f t="shared" si="5"/>
        <v>4085</v>
      </c>
      <c r="P7" s="28">
        <f t="shared" si="6"/>
        <v>135</v>
      </c>
      <c r="Q7" s="40">
        <v>148858</v>
      </c>
      <c r="R7" s="39">
        <v>0</v>
      </c>
      <c r="S7" s="39">
        <v>0</v>
      </c>
      <c r="T7" s="31">
        <f t="shared" si="7"/>
        <v>148858</v>
      </c>
      <c r="U7" s="1">
        <v>29001.360000000001</v>
      </c>
      <c r="V7" s="1">
        <v>7399.78</v>
      </c>
      <c r="W7" s="31">
        <f t="shared" si="1"/>
        <v>31948.409666886102</v>
      </c>
      <c r="X7" s="29">
        <v>57477</v>
      </c>
      <c r="Y7" s="31">
        <f t="shared" si="8"/>
        <v>125826.5496668861</v>
      </c>
      <c r="Z7" s="32">
        <f t="shared" si="9"/>
        <v>23031.450333113899</v>
      </c>
      <c r="AA7" s="31">
        <f t="shared" si="10"/>
        <v>15.4720944343696</v>
      </c>
      <c r="AD7" s="33"/>
      <c r="AE7" s="34"/>
    </row>
    <row r="8" spans="1:31" ht="15" customHeight="1" x14ac:dyDescent="0.2">
      <c r="A8" s="35">
        <v>4</v>
      </c>
      <c r="B8" s="25" t="s">
        <v>123</v>
      </c>
      <c r="C8" s="25" t="s">
        <v>124</v>
      </c>
      <c r="D8" s="25">
        <v>2026</v>
      </c>
      <c r="E8" s="41" t="s">
        <v>86</v>
      </c>
      <c r="F8" s="115"/>
      <c r="G8" s="86" t="s">
        <v>141</v>
      </c>
      <c r="H8" s="118"/>
      <c r="I8" s="37">
        <v>94267</v>
      </c>
      <c r="J8" s="37">
        <v>98630</v>
      </c>
      <c r="K8" s="38">
        <f t="shared" si="0"/>
        <v>4363</v>
      </c>
      <c r="L8" s="39">
        <v>3819</v>
      </c>
      <c r="M8" s="39">
        <v>0</v>
      </c>
      <c r="N8" s="39">
        <v>0</v>
      </c>
      <c r="O8" s="28">
        <f t="shared" si="5"/>
        <v>3819</v>
      </c>
      <c r="P8" s="28">
        <f t="shared" si="6"/>
        <v>-544</v>
      </c>
      <c r="Q8" s="40">
        <v>153236</v>
      </c>
      <c r="R8" s="39">
        <v>0</v>
      </c>
      <c r="S8" s="39">
        <v>0</v>
      </c>
      <c r="T8" s="31">
        <f t="shared" si="7"/>
        <v>153236</v>
      </c>
      <c r="U8" s="1">
        <v>39437.81</v>
      </c>
      <c r="V8" s="1">
        <v>11400</v>
      </c>
      <c r="W8" s="31">
        <f t="shared" si="1"/>
        <v>32888.03090001853</v>
      </c>
      <c r="X8" s="1">
        <v>0</v>
      </c>
      <c r="Y8" s="31">
        <f t="shared" si="8"/>
        <v>83725.84090001852</v>
      </c>
      <c r="Z8" s="32">
        <f t="shared" si="9"/>
        <v>69510.15909998148</v>
      </c>
      <c r="AA8" s="31">
        <f t="shared" si="10"/>
        <v>45.3615071523542</v>
      </c>
      <c r="AD8" s="33"/>
      <c r="AE8" s="34"/>
    </row>
    <row r="9" spans="1:31" x14ac:dyDescent="0.2">
      <c r="A9" s="25">
        <v>5</v>
      </c>
      <c r="B9" s="25" t="s">
        <v>123</v>
      </c>
      <c r="C9" s="25" t="s">
        <v>124</v>
      </c>
      <c r="D9" s="25">
        <v>2026</v>
      </c>
      <c r="E9" s="42" t="s">
        <v>25</v>
      </c>
      <c r="F9" s="115"/>
      <c r="G9" s="86" t="s">
        <v>133</v>
      </c>
      <c r="H9" s="118"/>
      <c r="I9" s="5">
        <v>241193</v>
      </c>
      <c r="J9" s="5">
        <v>242290</v>
      </c>
      <c r="K9" s="38">
        <f t="shared" si="0"/>
        <v>1097</v>
      </c>
      <c r="L9" s="39">
        <v>0</v>
      </c>
      <c r="M9" s="39">
        <v>0</v>
      </c>
      <c r="N9" s="38">
        <v>1097</v>
      </c>
      <c r="O9" s="28">
        <f t="shared" si="5"/>
        <v>1097</v>
      </c>
      <c r="P9" s="28">
        <f t="shared" si="6"/>
        <v>0</v>
      </c>
      <c r="Q9" s="39">
        <v>0</v>
      </c>
      <c r="R9" s="39">
        <v>0</v>
      </c>
      <c r="S9" s="38">
        <v>89971</v>
      </c>
      <c r="T9" s="31">
        <f t="shared" si="7"/>
        <v>89971</v>
      </c>
      <c r="U9" s="39">
        <v>0</v>
      </c>
      <c r="V9" s="1">
        <v>2850.76</v>
      </c>
      <c r="W9" s="31">
        <f t="shared" si="1"/>
        <v>19309.881673402902</v>
      </c>
      <c r="X9" s="1">
        <v>0</v>
      </c>
      <c r="Y9" s="31">
        <f t="shared" si="8"/>
        <v>22160.641673402904</v>
      </c>
      <c r="Z9" s="32">
        <f t="shared" si="9"/>
        <v>67810.358326597096</v>
      </c>
      <c r="AA9" s="31">
        <f t="shared" si="10"/>
        <v>75.36912819308121</v>
      </c>
      <c r="AD9" s="33"/>
      <c r="AE9" s="34"/>
    </row>
    <row r="10" spans="1:31" x14ac:dyDescent="0.2">
      <c r="A10" s="35">
        <v>6</v>
      </c>
      <c r="B10" s="25" t="s">
        <v>123</v>
      </c>
      <c r="C10" s="25" t="s">
        <v>124</v>
      </c>
      <c r="D10" s="25">
        <v>2026</v>
      </c>
      <c r="E10" s="36" t="s">
        <v>58</v>
      </c>
      <c r="F10" s="115"/>
      <c r="G10" s="86" t="s">
        <v>132</v>
      </c>
      <c r="H10" s="118"/>
      <c r="I10" s="37">
        <v>132275</v>
      </c>
      <c r="J10" s="37">
        <v>134259</v>
      </c>
      <c r="K10" s="38">
        <f t="shared" si="0"/>
        <v>1984</v>
      </c>
      <c r="L10" s="39">
        <v>1987</v>
      </c>
      <c r="M10" s="39">
        <v>0</v>
      </c>
      <c r="N10" s="39">
        <v>0</v>
      </c>
      <c r="O10" s="28">
        <f t="shared" si="5"/>
        <v>1987</v>
      </c>
      <c r="P10" s="28">
        <f t="shared" si="6"/>
        <v>3</v>
      </c>
      <c r="Q10" s="40">
        <v>94569</v>
      </c>
      <c r="R10" s="39">
        <v>0</v>
      </c>
      <c r="S10" s="39">
        <v>0</v>
      </c>
      <c r="T10" s="31">
        <f t="shared" si="7"/>
        <v>94569</v>
      </c>
      <c r="U10" s="1">
        <v>18102.330000000002</v>
      </c>
      <c r="V10" s="1">
        <v>43509.52</v>
      </c>
      <c r="W10" s="31">
        <f t="shared" si="1"/>
        <v>20296.720053928922</v>
      </c>
      <c r="X10" s="1">
        <v>0</v>
      </c>
      <c r="Y10" s="31">
        <f t="shared" si="8"/>
        <v>81908.570053928925</v>
      </c>
      <c r="Z10" s="32">
        <f t="shared" si="9"/>
        <v>12660.429946071075</v>
      </c>
      <c r="AA10" s="31">
        <f t="shared" si="10"/>
        <v>13.38750536229745</v>
      </c>
      <c r="AB10" s="43"/>
      <c r="AD10" s="33"/>
      <c r="AE10" s="34"/>
    </row>
    <row r="11" spans="1:31" x14ac:dyDescent="0.2">
      <c r="A11" s="25">
        <v>7</v>
      </c>
      <c r="B11" s="25" t="s">
        <v>123</v>
      </c>
      <c r="C11" s="25" t="s">
        <v>124</v>
      </c>
      <c r="D11" s="25">
        <v>2026</v>
      </c>
      <c r="E11" s="42" t="s">
        <v>26</v>
      </c>
      <c r="F11" s="115"/>
      <c r="G11" s="86" t="s">
        <v>134</v>
      </c>
      <c r="H11" s="118"/>
      <c r="I11" s="37">
        <v>87201</v>
      </c>
      <c r="J11" s="37">
        <v>89692</v>
      </c>
      <c r="K11" s="38">
        <f t="shared" si="0"/>
        <v>2491</v>
      </c>
      <c r="L11" s="39">
        <v>2529</v>
      </c>
      <c r="M11" s="39">
        <v>0</v>
      </c>
      <c r="N11" s="39">
        <v>0</v>
      </c>
      <c r="O11" s="28">
        <f t="shared" si="5"/>
        <v>2529</v>
      </c>
      <c r="P11" s="28">
        <f t="shared" si="6"/>
        <v>38</v>
      </c>
      <c r="Q11" s="40">
        <v>98363</v>
      </c>
      <c r="R11" s="39">
        <v>0</v>
      </c>
      <c r="S11" s="39">
        <v>0</v>
      </c>
      <c r="T11" s="31">
        <f t="shared" si="7"/>
        <v>98363</v>
      </c>
      <c r="U11" s="1">
        <v>25383.95</v>
      </c>
      <c r="V11" s="1">
        <v>3700</v>
      </c>
      <c r="W11" s="31">
        <f t="shared" si="1"/>
        <v>21111.0012230711</v>
      </c>
      <c r="X11" s="1">
        <v>0</v>
      </c>
      <c r="Y11" s="31">
        <f t="shared" si="8"/>
        <v>50194.951223071097</v>
      </c>
      <c r="Z11" s="32">
        <f t="shared" si="9"/>
        <v>48168.048776928903</v>
      </c>
      <c r="AA11" s="31">
        <f t="shared" si="10"/>
        <v>48.969682479111967</v>
      </c>
      <c r="AB11" s="43"/>
      <c r="AC11" s="8"/>
      <c r="AD11" s="33"/>
      <c r="AE11" s="34"/>
    </row>
    <row r="12" spans="1:31" x14ac:dyDescent="0.2">
      <c r="A12" s="35">
        <v>8</v>
      </c>
      <c r="B12" s="25" t="s">
        <v>123</v>
      </c>
      <c r="C12" s="25" t="s">
        <v>124</v>
      </c>
      <c r="D12" s="25">
        <v>2026</v>
      </c>
      <c r="E12" s="35" t="s">
        <v>27</v>
      </c>
      <c r="F12" s="115"/>
      <c r="G12" s="86" t="s">
        <v>137</v>
      </c>
      <c r="H12" s="118"/>
      <c r="I12" s="37">
        <v>187251</v>
      </c>
      <c r="J12" s="37">
        <v>191642</v>
      </c>
      <c r="K12" s="38">
        <f t="shared" si="0"/>
        <v>4391</v>
      </c>
      <c r="L12" s="39">
        <v>4399</v>
      </c>
      <c r="M12" s="39">
        <v>0</v>
      </c>
      <c r="N12" s="39">
        <v>0</v>
      </c>
      <c r="O12" s="28">
        <f t="shared" si="5"/>
        <v>4399</v>
      </c>
      <c r="P12" s="28">
        <f t="shared" si="6"/>
        <v>8</v>
      </c>
      <c r="Q12" s="40">
        <v>165459</v>
      </c>
      <c r="R12" s="39">
        <v>0</v>
      </c>
      <c r="S12" s="39">
        <v>0</v>
      </c>
      <c r="T12" s="31">
        <f t="shared" si="7"/>
        <v>165459</v>
      </c>
      <c r="U12" s="1">
        <v>44389.24</v>
      </c>
      <c r="V12" s="1">
        <v>0</v>
      </c>
      <c r="W12" s="31">
        <f t="shared" si="1"/>
        <v>35511.372684526912</v>
      </c>
      <c r="X12" s="1">
        <v>0</v>
      </c>
      <c r="Y12" s="31">
        <f t="shared" si="8"/>
        <v>79900.612684526917</v>
      </c>
      <c r="Z12" s="32">
        <f t="shared" si="9"/>
        <v>85558.387315473083</v>
      </c>
      <c r="AA12" s="31">
        <f t="shared" si="10"/>
        <v>51.709721027851664</v>
      </c>
      <c r="AB12" s="43"/>
      <c r="AC12" s="8"/>
      <c r="AD12" s="33"/>
      <c r="AE12" s="34"/>
    </row>
    <row r="13" spans="1:31" x14ac:dyDescent="0.2">
      <c r="A13" s="25">
        <v>9</v>
      </c>
      <c r="B13" s="25" t="s">
        <v>123</v>
      </c>
      <c r="C13" s="25" t="s">
        <v>124</v>
      </c>
      <c r="D13" s="25">
        <v>2026</v>
      </c>
      <c r="E13" s="35" t="s">
        <v>28</v>
      </c>
      <c r="F13" s="115"/>
      <c r="G13" s="86" t="s">
        <v>137</v>
      </c>
      <c r="H13" s="118"/>
      <c r="I13" s="5">
        <v>158714</v>
      </c>
      <c r="J13" s="37">
        <v>161033</v>
      </c>
      <c r="K13" s="38">
        <f t="shared" si="0"/>
        <v>2319</v>
      </c>
      <c r="L13" s="39">
        <v>1997</v>
      </c>
      <c r="M13" s="39">
        <v>0</v>
      </c>
      <c r="N13" s="38">
        <v>209</v>
      </c>
      <c r="O13" s="28">
        <f t="shared" si="5"/>
        <v>2206</v>
      </c>
      <c r="P13" s="28">
        <f t="shared" si="6"/>
        <v>-113</v>
      </c>
      <c r="Q13" s="39">
        <v>91847</v>
      </c>
      <c r="R13" s="39">
        <v>0</v>
      </c>
      <c r="S13" s="38">
        <v>19754</v>
      </c>
      <c r="T13" s="31">
        <f t="shared" si="7"/>
        <v>111601</v>
      </c>
      <c r="U13" s="1">
        <v>23294.22</v>
      </c>
      <c r="V13" s="1">
        <v>15706.02</v>
      </c>
      <c r="W13" s="31">
        <f t="shared" si="1"/>
        <v>23952.185755781724</v>
      </c>
      <c r="X13" s="1">
        <v>0</v>
      </c>
      <c r="Y13" s="31">
        <f t="shared" si="8"/>
        <v>62952.425755781733</v>
      </c>
      <c r="Z13" s="32">
        <f t="shared" si="9"/>
        <v>48648.574244218267</v>
      </c>
      <c r="AA13" s="31">
        <f t="shared" si="10"/>
        <v>43.59152180017945</v>
      </c>
      <c r="AB13" s="43"/>
      <c r="AC13" s="44"/>
      <c r="AD13" s="33"/>
      <c r="AE13" s="34"/>
    </row>
    <row r="14" spans="1:31" x14ac:dyDescent="0.2">
      <c r="A14" s="35">
        <v>10</v>
      </c>
      <c r="B14" s="25" t="s">
        <v>123</v>
      </c>
      <c r="C14" s="25" t="s">
        <v>124</v>
      </c>
      <c r="D14" s="25">
        <v>2026</v>
      </c>
      <c r="E14" s="42" t="s">
        <v>29</v>
      </c>
      <c r="F14" s="115"/>
      <c r="G14" s="86" t="s">
        <v>137</v>
      </c>
      <c r="H14" s="118"/>
      <c r="I14" s="37">
        <v>157640</v>
      </c>
      <c r="J14" s="37">
        <v>160216</v>
      </c>
      <c r="K14" s="38">
        <f t="shared" si="0"/>
        <v>2576</v>
      </c>
      <c r="L14" s="39">
        <v>2529</v>
      </c>
      <c r="M14" s="39">
        <v>0</v>
      </c>
      <c r="N14" s="39">
        <v>0</v>
      </c>
      <c r="O14" s="28">
        <f t="shared" si="5"/>
        <v>2529</v>
      </c>
      <c r="P14" s="28">
        <f>O14-K14</f>
        <v>-47</v>
      </c>
      <c r="Q14" s="40">
        <v>105433</v>
      </c>
      <c r="R14" s="39">
        <v>0</v>
      </c>
      <c r="S14" s="39">
        <v>0</v>
      </c>
      <c r="T14" s="31">
        <f t="shared" si="7"/>
        <v>105433</v>
      </c>
      <c r="U14" s="1">
        <v>21579.29</v>
      </c>
      <c r="V14" s="1">
        <v>14651.6</v>
      </c>
      <c r="W14" s="31">
        <f t="shared" si="1"/>
        <v>22628.388641583271</v>
      </c>
      <c r="X14" s="1">
        <v>0</v>
      </c>
      <c r="Y14" s="31">
        <f t="shared" si="8"/>
        <v>58859.278641583267</v>
      </c>
      <c r="Z14" s="32">
        <f t="shared" si="9"/>
        <v>46573.721358416733</v>
      </c>
      <c r="AA14" s="31">
        <f t="shared" si="10"/>
        <v>44.173760927239798</v>
      </c>
      <c r="AB14" s="43"/>
      <c r="AC14" s="44"/>
      <c r="AD14" s="45"/>
      <c r="AE14" s="46"/>
    </row>
    <row r="15" spans="1:31" x14ac:dyDescent="0.2">
      <c r="A15" s="25">
        <v>11</v>
      </c>
      <c r="B15" s="25" t="s">
        <v>123</v>
      </c>
      <c r="C15" s="25" t="s">
        <v>124</v>
      </c>
      <c r="D15" s="25">
        <v>2026</v>
      </c>
      <c r="E15" s="42" t="s">
        <v>40</v>
      </c>
      <c r="F15" s="115"/>
      <c r="G15" s="86" t="s">
        <v>137</v>
      </c>
      <c r="H15" s="118"/>
      <c r="I15" s="5">
        <v>117803</v>
      </c>
      <c r="J15" s="5">
        <v>118388</v>
      </c>
      <c r="K15" s="38">
        <f t="shared" si="0"/>
        <v>585</v>
      </c>
      <c r="L15" s="41">
        <v>345</v>
      </c>
      <c r="M15" s="39">
        <v>0</v>
      </c>
      <c r="N15" s="38">
        <v>585</v>
      </c>
      <c r="O15" s="28">
        <f t="shared" si="5"/>
        <v>930</v>
      </c>
      <c r="P15" s="28">
        <f t="shared" si="6"/>
        <v>345</v>
      </c>
      <c r="Q15" s="39">
        <v>12431</v>
      </c>
      <c r="R15" s="39">
        <v>0</v>
      </c>
      <c r="S15" s="38">
        <v>81067</v>
      </c>
      <c r="T15" s="31">
        <f t="shared" si="7"/>
        <v>93498</v>
      </c>
      <c r="U15" s="1">
        <v>10611.84</v>
      </c>
      <c r="V15" s="1">
        <v>0</v>
      </c>
      <c r="W15" s="31">
        <f t="shared" si="1"/>
        <v>20066.858395481042</v>
      </c>
      <c r="X15" s="1">
        <v>0</v>
      </c>
      <c r="Y15" s="31">
        <f t="shared" si="8"/>
        <v>30678.698395481042</v>
      </c>
      <c r="Z15" s="32">
        <f t="shared" si="9"/>
        <v>62819.301604518958</v>
      </c>
      <c r="AA15" s="31">
        <f t="shared" si="10"/>
        <v>67.187856001752934</v>
      </c>
      <c r="AB15" s="43"/>
      <c r="AC15" s="44"/>
      <c r="AD15" s="34"/>
      <c r="AE15" s="34"/>
    </row>
    <row r="16" spans="1:31" x14ac:dyDescent="0.2">
      <c r="A16" s="35">
        <v>12</v>
      </c>
      <c r="B16" s="25" t="s">
        <v>123</v>
      </c>
      <c r="C16" s="25" t="s">
        <v>124</v>
      </c>
      <c r="D16" s="25">
        <v>2026</v>
      </c>
      <c r="E16" s="42" t="s">
        <v>39</v>
      </c>
      <c r="F16" s="115"/>
      <c r="G16" s="86" t="s">
        <v>137</v>
      </c>
      <c r="H16" s="118"/>
      <c r="I16" s="37">
        <v>178155</v>
      </c>
      <c r="J16" s="37">
        <v>183937</v>
      </c>
      <c r="K16" s="38">
        <f t="shared" si="0"/>
        <v>5782</v>
      </c>
      <c r="L16" s="39">
        <v>5748</v>
      </c>
      <c r="M16" s="39">
        <v>0</v>
      </c>
      <c r="N16" s="39">
        <v>0</v>
      </c>
      <c r="O16" s="28">
        <f t="shared" si="5"/>
        <v>5748</v>
      </c>
      <c r="P16" s="28">
        <f t="shared" si="6"/>
        <v>-34</v>
      </c>
      <c r="Q16" s="40">
        <v>183385</v>
      </c>
      <c r="R16" s="39">
        <v>0</v>
      </c>
      <c r="S16" s="39">
        <v>0</v>
      </c>
      <c r="T16" s="31">
        <f t="shared" si="7"/>
        <v>183385</v>
      </c>
      <c r="U16" s="1">
        <v>51455.67</v>
      </c>
      <c r="V16" s="1">
        <v>0</v>
      </c>
      <c r="W16" s="31">
        <f t="shared" si="1"/>
        <v>39358.711703515481</v>
      </c>
      <c r="X16" s="1">
        <v>0</v>
      </c>
      <c r="Y16" s="31">
        <f t="shared" si="8"/>
        <v>90814.381703515479</v>
      </c>
      <c r="Z16" s="32">
        <f t="shared" si="9"/>
        <v>92570.618296484521</v>
      </c>
      <c r="AA16" s="31">
        <f t="shared" si="10"/>
        <v>50.478838670820693</v>
      </c>
      <c r="AB16" s="43"/>
      <c r="AC16" s="44"/>
      <c r="AD16" s="33"/>
      <c r="AE16" s="34"/>
    </row>
    <row r="17" spans="1:31" x14ac:dyDescent="0.2">
      <c r="A17" s="25">
        <v>13</v>
      </c>
      <c r="B17" s="25" t="s">
        <v>123</v>
      </c>
      <c r="C17" s="25" t="s">
        <v>124</v>
      </c>
      <c r="D17" s="25">
        <v>2026</v>
      </c>
      <c r="E17" s="42" t="s">
        <v>42</v>
      </c>
      <c r="F17" s="115"/>
      <c r="G17" s="86" t="s">
        <v>138</v>
      </c>
      <c r="H17" s="118"/>
      <c r="I17" s="37">
        <v>139876</v>
      </c>
      <c r="J17" s="37">
        <v>142674</v>
      </c>
      <c r="K17" s="38">
        <f t="shared" si="0"/>
        <v>2798</v>
      </c>
      <c r="L17" s="39">
        <v>3007</v>
      </c>
      <c r="M17" s="39">
        <v>0</v>
      </c>
      <c r="N17" s="39">
        <v>0</v>
      </c>
      <c r="O17" s="28">
        <f t="shared" si="5"/>
        <v>3007</v>
      </c>
      <c r="P17" s="28">
        <f t="shared" si="6"/>
        <v>209</v>
      </c>
      <c r="Q17" s="40">
        <v>154610</v>
      </c>
      <c r="R17" s="39">
        <v>0</v>
      </c>
      <c r="S17" s="39">
        <v>0</v>
      </c>
      <c r="T17" s="31">
        <f t="shared" si="7"/>
        <v>154610</v>
      </c>
      <c r="U17" s="1">
        <v>23788.62</v>
      </c>
      <c r="V17" s="1"/>
      <c r="W17" s="31">
        <f t="shared" si="1"/>
        <v>33182.923447831221</v>
      </c>
      <c r="X17" s="1">
        <v>0</v>
      </c>
      <c r="Y17" s="31">
        <f t="shared" si="8"/>
        <v>56971.543447831224</v>
      </c>
      <c r="Z17" s="32">
        <f t="shared" si="9"/>
        <v>97638.456552168776</v>
      </c>
      <c r="AA17" s="31">
        <f t="shared" si="10"/>
        <v>63.151449810600077</v>
      </c>
      <c r="AB17" s="43"/>
      <c r="AD17" s="33"/>
      <c r="AE17" s="34"/>
    </row>
    <row r="18" spans="1:31" x14ac:dyDescent="0.2">
      <c r="A18" s="35">
        <v>14</v>
      </c>
      <c r="B18" s="25" t="s">
        <v>123</v>
      </c>
      <c r="C18" s="25" t="s">
        <v>124</v>
      </c>
      <c r="D18" s="25">
        <v>2026</v>
      </c>
      <c r="E18" s="47" t="s">
        <v>43</v>
      </c>
      <c r="F18" s="115"/>
      <c r="G18" s="86" t="s">
        <v>139</v>
      </c>
      <c r="H18" s="118"/>
      <c r="I18" s="37">
        <v>193805</v>
      </c>
      <c r="J18" s="37">
        <v>196559</v>
      </c>
      <c r="K18" s="38">
        <f t="shared" si="0"/>
        <v>2754</v>
      </c>
      <c r="L18" s="39">
        <v>2748</v>
      </c>
      <c r="M18" s="39">
        <v>0</v>
      </c>
      <c r="N18" s="39">
        <v>0</v>
      </c>
      <c r="O18" s="28">
        <f t="shared" si="5"/>
        <v>2748</v>
      </c>
      <c r="P18" s="28">
        <f t="shared" si="6"/>
        <v>-6</v>
      </c>
      <c r="Q18" s="40">
        <v>131153</v>
      </c>
      <c r="R18" s="39">
        <v>0</v>
      </c>
      <c r="S18" s="39">
        <v>0</v>
      </c>
      <c r="T18" s="31">
        <f t="shared" si="7"/>
        <v>131153</v>
      </c>
      <c r="U18" s="1">
        <v>27708.52</v>
      </c>
      <c r="V18" s="1">
        <v>12873.03</v>
      </c>
      <c r="W18" s="31">
        <f t="shared" si="1"/>
        <v>28148.502418688367</v>
      </c>
      <c r="X18" s="1">
        <v>0</v>
      </c>
      <c r="Y18" s="31">
        <f t="shared" si="8"/>
        <v>68730.05241868837</v>
      </c>
      <c r="Z18" s="32">
        <f t="shared" si="9"/>
        <v>62422.94758131163</v>
      </c>
      <c r="AA18" s="31">
        <f t="shared" si="10"/>
        <v>47.595516367381329</v>
      </c>
      <c r="AB18" s="43"/>
      <c r="AD18" s="46"/>
      <c r="AE18" s="46"/>
    </row>
    <row r="19" spans="1:31" x14ac:dyDescent="0.2">
      <c r="A19" s="25">
        <v>15</v>
      </c>
      <c r="B19" s="25" t="s">
        <v>123</v>
      </c>
      <c r="C19" s="25" t="s">
        <v>124</v>
      </c>
      <c r="D19" s="25">
        <v>2026</v>
      </c>
      <c r="E19" s="47" t="s">
        <v>45</v>
      </c>
      <c r="F19" s="115"/>
      <c r="G19" s="86" t="s">
        <v>140</v>
      </c>
      <c r="H19" s="118"/>
      <c r="I19" s="37">
        <v>110832</v>
      </c>
      <c r="J19" s="37">
        <v>117362</v>
      </c>
      <c r="K19" s="38">
        <f t="shared" si="0"/>
        <v>6530</v>
      </c>
      <c r="L19" s="39">
        <v>6383</v>
      </c>
      <c r="M19" s="39">
        <v>0</v>
      </c>
      <c r="N19" s="39">
        <v>0</v>
      </c>
      <c r="O19" s="28">
        <f t="shared" si="5"/>
        <v>6383</v>
      </c>
      <c r="P19" s="28">
        <f t="shared" si="6"/>
        <v>-147</v>
      </c>
      <c r="Q19" s="38">
        <v>189586</v>
      </c>
      <c r="R19" s="39">
        <v>0</v>
      </c>
      <c r="S19" s="39">
        <v>0</v>
      </c>
      <c r="T19" s="31">
        <f t="shared" si="7"/>
        <v>189586</v>
      </c>
      <c r="U19" s="1">
        <v>59155.3</v>
      </c>
      <c r="V19" s="1">
        <v>9867.4500000000007</v>
      </c>
      <c r="W19" s="31">
        <f t="shared" si="1"/>
        <v>40689.591389822977</v>
      </c>
      <c r="X19" s="1">
        <v>0</v>
      </c>
      <c r="Y19" s="31">
        <f t="shared" si="8"/>
        <v>109712.34138982298</v>
      </c>
      <c r="Z19" s="32">
        <f t="shared" si="9"/>
        <v>79873.658610177023</v>
      </c>
      <c r="AA19" s="31">
        <f t="shared" si="10"/>
        <v>42.130567979796517</v>
      </c>
      <c r="AB19" s="43"/>
      <c r="AD19" s="46"/>
      <c r="AE19" s="46"/>
    </row>
    <row r="20" spans="1:31" ht="15" customHeight="1" x14ac:dyDescent="0.2">
      <c r="A20" s="35">
        <v>16</v>
      </c>
      <c r="B20" s="25" t="s">
        <v>123</v>
      </c>
      <c r="C20" s="25" t="s">
        <v>124</v>
      </c>
      <c r="D20" s="25">
        <v>2026</v>
      </c>
      <c r="E20" s="40" t="s">
        <v>47</v>
      </c>
      <c r="F20" s="115"/>
      <c r="G20" s="86" t="s">
        <v>136</v>
      </c>
      <c r="H20" s="118"/>
      <c r="I20" s="37">
        <v>161474</v>
      </c>
      <c r="J20" s="37">
        <v>163903</v>
      </c>
      <c r="K20" s="38">
        <f t="shared" si="0"/>
        <v>2429</v>
      </c>
      <c r="L20" s="39">
        <v>2277</v>
      </c>
      <c r="M20" s="39">
        <v>0</v>
      </c>
      <c r="N20" s="39">
        <v>0</v>
      </c>
      <c r="O20" s="28">
        <f t="shared" si="5"/>
        <v>2277</v>
      </c>
      <c r="P20" s="28">
        <f t="shared" si="6"/>
        <v>-152</v>
      </c>
      <c r="Q20" s="40">
        <v>93451</v>
      </c>
      <c r="R20" s="39">
        <v>0</v>
      </c>
      <c r="S20" s="39">
        <v>0</v>
      </c>
      <c r="T20" s="31">
        <f t="shared" si="7"/>
        <v>93451</v>
      </c>
      <c r="U20" s="1">
        <v>20332.37</v>
      </c>
      <c r="V20" s="1">
        <v>27000</v>
      </c>
      <c r="W20" s="31">
        <f t="shared" si="1"/>
        <v>20056.771095810593</v>
      </c>
      <c r="X20" s="1">
        <v>0</v>
      </c>
      <c r="Y20" s="31">
        <f t="shared" si="8"/>
        <v>67389.141095810584</v>
      </c>
      <c r="Z20" s="32">
        <f t="shared" si="9"/>
        <v>26061.858904189416</v>
      </c>
      <c r="AA20" s="31">
        <f t="shared" si="10"/>
        <v>27.888261125284284</v>
      </c>
      <c r="AB20" s="43"/>
      <c r="AD20" s="33"/>
      <c r="AE20" s="34"/>
    </row>
    <row r="21" spans="1:31" x14ac:dyDescent="0.2">
      <c r="A21" s="25">
        <v>17</v>
      </c>
      <c r="B21" s="25" t="s">
        <v>123</v>
      </c>
      <c r="C21" s="25" t="s">
        <v>124</v>
      </c>
      <c r="D21" s="25">
        <v>2026</v>
      </c>
      <c r="E21" s="36" t="s">
        <v>61</v>
      </c>
      <c r="F21" s="115"/>
      <c r="G21" s="86" t="s">
        <v>135</v>
      </c>
      <c r="H21" s="118"/>
      <c r="I21" s="37">
        <v>194199</v>
      </c>
      <c r="J21" s="37">
        <v>198531</v>
      </c>
      <c r="K21" s="38">
        <f t="shared" si="0"/>
        <v>4332</v>
      </c>
      <c r="L21" s="39">
        <v>4185</v>
      </c>
      <c r="M21" s="39">
        <v>0</v>
      </c>
      <c r="N21" s="39">
        <v>0</v>
      </c>
      <c r="O21" s="28">
        <f t="shared" si="5"/>
        <v>4185</v>
      </c>
      <c r="P21" s="28">
        <f t="shared" si="6"/>
        <v>-147</v>
      </c>
      <c r="Q21" s="40">
        <v>182569</v>
      </c>
      <c r="R21" s="39">
        <v>0</v>
      </c>
      <c r="S21" s="39">
        <v>0</v>
      </c>
      <c r="T21" s="31">
        <f t="shared" si="7"/>
        <v>182569</v>
      </c>
      <c r="U21" s="1">
        <v>34647.730000000003</v>
      </c>
      <c r="V21" s="1">
        <v>1000</v>
      </c>
      <c r="W21" s="31">
        <f t="shared" si="1"/>
        <v>39183.579011364716</v>
      </c>
      <c r="X21" s="1">
        <v>0</v>
      </c>
      <c r="Y21" s="31">
        <f t="shared" si="8"/>
        <v>74831.309011364719</v>
      </c>
      <c r="Z21" s="32">
        <f t="shared" si="9"/>
        <v>107737.69098863528</v>
      </c>
      <c r="AA21" s="31">
        <f t="shared" si="10"/>
        <v>59.012039825290863</v>
      </c>
      <c r="AB21" s="43"/>
      <c r="AD21" s="46"/>
      <c r="AE21" s="46"/>
    </row>
    <row r="22" spans="1:31" x14ac:dyDescent="0.2">
      <c r="A22" s="35">
        <v>18</v>
      </c>
      <c r="B22" s="25" t="s">
        <v>123</v>
      </c>
      <c r="C22" s="25" t="s">
        <v>124</v>
      </c>
      <c r="D22" s="25">
        <v>2026</v>
      </c>
      <c r="E22" s="40" t="s">
        <v>62</v>
      </c>
      <c r="F22" s="115"/>
      <c r="G22" s="86" t="s">
        <v>143</v>
      </c>
      <c r="H22" s="118"/>
      <c r="I22" s="37">
        <v>109040</v>
      </c>
      <c r="J22" s="37">
        <v>113557</v>
      </c>
      <c r="K22" s="38">
        <f t="shared" si="0"/>
        <v>4517</v>
      </c>
      <c r="L22" s="39">
        <v>4454</v>
      </c>
      <c r="M22" s="39">
        <v>0</v>
      </c>
      <c r="N22" s="39">
        <v>0</v>
      </c>
      <c r="O22" s="28">
        <f t="shared" si="5"/>
        <v>4454</v>
      </c>
      <c r="P22" s="28">
        <f t="shared" si="6"/>
        <v>-63</v>
      </c>
      <c r="Q22" s="40">
        <v>174579</v>
      </c>
      <c r="R22" s="39">
        <v>0</v>
      </c>
      <c r="S22" s="39">
        <v>0</v>
      </c>
      <c r="T22" s="31">
        <f t="shared" si="7"/>
        <v>174579</v>
      </c>
      <c r="U22" s="1">
        <v>38107.379999999997</v>
      </c>
      <c r="V22" s="1">
        <v>53495.199999999997</v>
      </c>
      <c r="W22" s="31">
        <f t="shared" si="1"/>
        <v>37468.73806738844</v>
      </c>
      <c r="X22" s="1">
        <v>0</v>
      </c>
      <c r="Y22" s="31">
        <f t="shared" si="8"/>
        <v>129071.31806738843</v>
      </c>
      <c r="Z22" s="32">
        <f t="shared" si="9"/>
        <v>45507.681932611566</v>
      </c>
      <c r="AA22" s="31">
        <f t="shared" si="10"/>
        <v>26.067099669840914</v>
      </c>
      <c r="AB22" s="43"/>
      <c r="AD22" s="46"/>
      <c r="AE22" s="46"/>
    </row>
    <row r="23" spans="1:31" x14ac:dyDescent="0.2">
      <c r="A23" s="25">
        <v>19</v>
      </c>
      <c r="B23" s="25" t="s">
        <v>123</v>
      </c>
      <c r="C23" s="25" t="s">
        <v>124</v>
      </c>
      <c r="D23" s="25">
        <v>2026</v>
      </c>
      <c r="E23" s="36" t="s">
        <v>64</v>
      </c>
      <c r="F23" s="115"/>
      <c r="G23" s="86" t="s">
        <v>135</v>
      </c>
      <c r="H23" s="118"/>
      <c r="I23" s="37">
        <v>175983</v>
      </c>
      <c r="J23" s="37">
        <v>178536</v>
      </c>
      <c r="K23" s="38">
        <f t="shared" si="0"/>
        <v>2553</v>
      </c>
      <c r="L23" s="39">
        <v>2269</v>
      </c>
      <c r="M23" s="39">
        <v>0</v>
      </c>
      <c r="N23" s="39">
        <v>309</v>
      </c>
      <c r="O23" s="28">
        <f t="shared" si="5"/>
        <v>2578</v>
      </c>
      <c r="P23" s="28">
        <f t="shared" si="6"/>
        <v>25</v>
      </c>
      <c r="Q23" s="40">
        <v>91719</v>
      </c>
      <c r="R23" s="39">
        <v>0</v>
      </c>
      <c r="S23" s="39">
        <v>13500</v>
      </c>
      <c r="T23" s="31">
        <f t="shared" si="7"/>
        <v>105219</v>
      </c>
      <c r="U23" s="1">
        <v>23589.66</v>
      </c>
      <c r="V23" s="1">
        <v>0</v>
      </c>
      <c r="W23" s="31">
        <f t="shared" si="1"/>
        <v>22582.459234573143</v>
      </c>
      <c r="X23" s="1">
        <v>0</v>
      </c>
      <c r="Y23" s="31">
        <f t="shared" si="8"/>
        <v>46172.11923457314</v>
      </c>
      <c r="Z23" s="32">
        <f t="shared" si="9"/>
        <v>59046.88076542686</v>
      </c>
      <c r="AA23" s="31">
        <f t="shared" si="10"/>
        <v>56.118078260985996</v>
      </c>
      <c r="AB23" s="43"/>
      <c r="AD23" s="46"/>
      <c r="AE23" s="46"/>
    </row>
    <row r="24" spans="1:31" x14ac:dyDescent="0.2">
      <c r="A24" s="35">
        <v>20</v>
      </c>
      <c r="B24" s="25" t="s">
        <v>123</v>
      </c>
      <c r="C24" s="25" t="s">
        <v>124</v>
      </c>
      <c r="D24" s="25">
        <v>2026</v>
      </c>
      <c r="E24" s="41" t="s">
        <v>85</v>
      </c>
      <c r="F24" s="115"/>
      <c r="G24" s="86" t="s">
        <v>136</v>
      </c>
      <c r="H24" s="118"/>
      <c r="I24" s="37">
        <v>87428</v>
      </c>
      <c r="J24" s="37">
        <v>89294</v>
      </c>
      <c r="K24" s="38">
        <f t="shared" si="0"/>
        <v>1866</v>
      </c>
      <c r="L24" s="39">
        <v>1771</v>
      </c>
      <c r="M24" s="39">
        <v>0</v>
      </c>
      <c r="N24" s="39">
        <v>0</v>
      </c>
      <c r="O24" s="28">
        <f t="shared" si="5"/>
        <v>1771</v>
      </c>
      <c r="P24" s="28">
        <f t="shared" si="6"/>
        <v>-95</v>
      </c>
      <c r="Q24" s="40">
        <v>83924</v>
      </c>
      <c r="R24" s="39">
        <v>0</v>
      </c>
      <c r="S24" s="39">
        <v>0</v>
      </c>
      <c r="T24" s="31">
        <f t="shared" si="7"/>
        <v>83924</v>
      </c>
      <c r="U24" s="1">
        <v>20425.099999999999</v>
      </c>
      <c r="V24" s="1">
        <v>9500</v>
      </c>
      <c r="W24" s="31">
        <f t="shared" si="1"/>
        <v>18012.053990270924</v>
      </c>
      <c r="X24" s="1">
        <v>0</v>
      </c>
      <c r="Y24" s="31">
        <f t="shared" si="8"/>
        <v>47937.153990270919</v>
      </c>
      <c r="Z24" s="32">
        <f t="shared" si="9"/>
        <v>35986.846009729081</v>
      </c>
      <c r="AA24" s="31">
        <f t="shared" si="10"/>
        <v>42.88027978853377</v>
      </c>
      <c r="AB24" s="43"/>
      <c r="AD24" s="46"/>
      <c r="AE24" s="46"/>
    </row>
    <row r="25" spans="1:31" ht="15" customHeight="1" x14ac:dyDescent="0.2">
      <c r="A25" s="25">
        <v>21</v>
      </c>
      <c r="B25" s="25" t="s">
        <v>123</v>
      </c>
      <c r="C25" s="25" t="s">
        <v>124</v>
      </c>
      <c r="D25" s="25">
        <v>2026</v>
      </c>
      <c r="E25" s="40" t="s">
        <v>63</v>
      </c>
      <c r="F25" s="115"/>
      <c r="G25" s="86" t="s">
        <v>125</v>
      </c>
      <c r="H25" s="118"/>
      <c r="I25" s="37">
        <v>143365</v>
      </c>
      <c r="J25" s="37">
        <v>145414</v>
      </c>
      <c r="K25" s="38">
        <f t="shared" si="0"/>
        <v>2049</v>
      </c>
      <c r="L25" s="39">
        <v>1937</v>
      </c>
      <c r="M25" s="39">
        <v>0</v>
      </c>
      <c r="N25" s="39">
        <v>0</v>
      </c>
      <c r="O25" s="28">
        <f t="shared" si="5"/>
        <v>1937</v>
      </c>
      <c r="P25" s="28">
        <f t="shared" si="6"/>
        <v>-112</v>
      </c>
      <c r="Q25" s="40">
        <v>95947</v>
      </c>
      <c r="R25" s="39">
        <v>0</v>
      </c>
      <c r="S25" s="39">
        <v>0</v>
      </c>
      <c r="T25" s="31">
        <f t="shared" si="7"/>
        <v>95947</v>
      </c>
      <c r="U25" s="1">
        <v>21905.200000000001</v>
      </c>
      <c r="V25" s="1">
        <v>29946.83</v>
      </c>
      <c r="W25" s="31">
        <f t="shared" si="1"/>
        <v>20592.471095330588</v>
      </c>
      <c r="X25" s="1">
        <v>0</v>
      </c>
      <c r="Y25" s="31">
        <f t="shared" si="8"/>
        <v>72444.50109533059</v>
      </c>
      <c r="Z25" s="32">
        <f t="shared" si="9"/>
        <v>23502.49890466941</v>
      </c>
      <c r="AA25" s="31">
        <f t="shared" si="10"/>
        <v>24.495293135449163</v>
      </c>
      <c r="AB25" s="43"/>
      <c r="AD25" s="33"/>
      <c r="AE25" s="34"/>
    </row>
    <row r="26" spans="1:31" ht="15" customHeight="1" x14ac:dyDescent="0.2">
      <c r="A26" s="35">
        <v>22</v>
      </c>
      <c r="B26" s="25" t="s">
        <v>123</v>
      </c>
      <c r="C26" s="25" t="s">
        <v>124</v>
      </c>
      <c r="D26" s="25">
        <v>2026</v>
      </c>
      <c r="E26" s="40" t="s">
        <v>68</v>
      </c>
      <c r="F26" s="115"/>
      <c r="G26" s="86" t="s">
        <v>136</v>
      </c>
      <c r="H26" s="118"/>
      <c r="I26" s="37">
        <v>136660</v>
      </c>
      <c r="J26" s="37">
        <v>139728</v>
      </c>
      <c r="K26" s="38">
        <f t="shared" si="0"/>
        <v>3068</v>
      </c>
      <c r="L26" s="39">
        <v>3108</v>
      </c>
      <c r="M26" s="39">
        <v>0</v>
      </c>
      <c r="N26" s="39">
        <v>0</v>
      </c>
      <c r="O26" s="28">
        <f t="shared" si="5"/>
        <v>3108</v>
      </c>
      <c r="P26" s="28">
        <f t="shared" si="6"/>
        <v>40</v>
      </c>
      <c r="Q26" s="40">
        <v>116542</v>
      </c>
      <c r="R26" s="39">
        <v>0</v>
      </c>
      <c r="S26" s="39">
        <v>0</v>
      </c>
      <c r="T26" s="31">
        <f t="shared" si="7"/>
        <v>116542</v>
      </c>
      <c r="U26" s="1">
        <v>28258.52</v>
      </c>
      <c r="V26" s="1">
        <v>0</v>
      </c>
      <c r="W26" s="31">
        <f t="shared" si="1"/>
        <v>25012.639961562294</v>
      </c>
      <c r="X26" s="1">
        <v>0</v>
      </c>
      <c r="Y26" s="31">
        <f t="shared" si="8"/>
        <v>53271.159961562298</v>
      </c>
      <c r="Z26" s="32">
        <f t="shared" si="9"/>
        <v>63270.840038437702</v>
      </c>
      <c r="AA26" s="31">
        <f t="shared" si="10"/>
        <v>54.290161519827784</v>
      </c>
      <c r="AB26" s="43"/>
      <c r="AD26" s="46"/>
      <c r="AE26" s="46"/>
    </row>
    <row r="27" spans="1:31" x14ac:dyDescent="0.2">
      <c r="A27" s="25">
        <v>23</v>
      </c>
      <c r="B27" s="25" t="s">
        <v>123</v>
      </c>
      <c r="C27" s="25" t="s">
        <v>124</v>
      </c>
      <c r="D27" s="25">
        <v>2026</v>
      </c>
      <c r="E27" s="36" t="s">
        <v>69</v>
      </c>
      <c r="F27" s="115"/>
      <c r="G27" s="86" t="s">
        <v>136</v>
      </c>
      <c r="H27" s="118"/>
      <c r="I27" s="37">
        <v>112019</v>
      </c>
      <c r="J27" s="37">
        <v>114473</v>
      </c>
      <c r="K27" s="38">
        <f t="shared" si="0"/>
        <v>2454</v>
      </c>
      <c r="L27" s="39">
        <v>2429</v>
      </c>
      <c r="M27" s="39">
        <v>0</v>
      </c>
      <c r="N27" s="39">
        <v>0</v>
      </c>
      <c r="O27" s="28">
        <f t="shared" si="5"/>
        <v>2429</v>
      </c>
      <c r="P27" s="28">
        <f t="shared" si="6"/>
        <v>-25</v>
      </c>
      <c r="Q27" s="40">
        <v>128845</v>
      </c>
      <c r="R27" s="39">
        <v>0</v>
      </c>
      <c r="S27" s="39">
        <v>0</v>
      </c>
      <c r="T27" s="31">
        <f t="shared" si="7"/>
        <v>128845</v>
      </c>
      <c r="U27" s="1">
        <v>27757.16</v>
      </c>
      <c r="V27" s="1">
        <v>0</v>
      </c>
      <c r="W27" s="31">
        <f t="shared" si="1"/>
        <v>27653.151617850166</v>
      </c>
      <c r="X27" s="1">
        <v>0</v>
      </c>
      <c r="Y27" s="31">
        <f t="shared" si="8"/>
        <v>55410.311617850166</v>
      </c>
      <c r="Z27" s="32">
        <f t="shared" si="9"/>
        <v>73434.688382149834</v>
      </c>
      <c r="AA27" s="31">
        <f t="shared" si="10"/>
        <v>56.994596904924393</v>
      </c>
      <c r="AB27" s="43"/>
      <c r="AD27" s="46"/>
      <c r="AE27" s="46"/>
    </row>
    <row r="28" spans="1:31" x14ac:dyDescent="0.2">
      <c r="A28" s="35">
        <v>24</v>
      </c>
      <c r="B28" s="25" t="s">
        <v>123</v>
      </c>
      <c r="C28" s="25" t="s">
        <v>124</v>
      </c>
      <c r="D28" s="25">
        <v>2026</v>
      </c>
      <c r="E28" s="41" t="s">
        <v>75</v>
      </c>
      <c r="F28" s="115"/>
      <c r="G28" s="86" t="s">
        <v>141</v>
      </c>
      <c r="H28" s="118"/>
      <c r="I28" s="5">
        <v>99826</v>
      </c>
      <c r="J28" s="5">
        <v>101762</v>
      </c>
      <c r="K28" s="38">
        <f t="shared" si="0"/>
        <v>1936</v>
      </c>
      <c r="L28" s="39">
        <v>1430</v>
      </c>
      <c r="M28" s="39">
        <v>0</v>
      </c>
      <c r="N28" s="38">
        <v>680</v>
      </c>
      <c r="O28" s="28">
        <f t="shared" si="5"/>
        <v>2110</v>
      </c>
      <c r="P28" s="28">
        <f t="shared" si="6"/>
        <v>174</v>
      </c>
      <c r="Q28" s="40">
        <v>49987</v>
      </c>
      <c r="R28" s="39">
        <v>0</v>
      </c>
      <c r="S28" s="5">
        <v>49577</v>
      </c>
      <c r="T28" s="31">
        <f t="shared" si="7"/>
        <v>99564</v>
      </c>
      <c r="U28" s="1">
        <v>20171.46</v>
      </c>
      <c r="V28" s="1">
        <v>34926.31</v>
      </c>
      <c r="W28" s="31">
        <f t="shared" si="1"/>
        <v>21368.763923160648</v>
      </c>
      <c r="X28" s="1">
        <v>0</v>
      </c>
      <c r="Y28" s="31">
        <f t="shared" si="8"/>
        <v>76466.533923160649</v>
      </c>
      <c r="Z28" s="32">
        <f t="shared" si="9"/>
        <v>23097.466076839351</v>
      </c>
      <c r="AA28" s="31">
        <f t="shared" si="10"/>
        <v>23.198612025269526</v>
      </c>
      <c r="AB28" s="43"/>
      <c r="AD28" s="46"/>
      <c r="AE28" s="46"/>
    </row>
    <row r="29" spans="1:31" x14ac:dyDescent="0.2">
      <c r="A29" s="25">
        <v>25</v>
      </c>
      <c r="B29" s="25" t="s">
        <v>123</v>
      </c>
      <c r="C29" s="25" t="s">
        <v>124</v>
      </c>
      <c r="D29" s="25">
        <v>2026</v>
      </c>
      <c r="E29" s="41" t="s">
        <v>77</v>
      </c>
      <c r="F29" s="115"/>
      <c r="G29" s="86" t="s">
        <v>142</v>
      </c>
      <c r="H29" s="118"/>
      <c r="I29" s="37">
        <v>151514</v>
      </c>
      <c r="J29" s="37">
        <v>157396</v>
      </c>
      <c r="K29" s="38">
        <f t="shared" si="0"/>
        <v>5882</v>
      </c>
      <c r="L29" s="39">
        <v>5786</v>
      </c>
      <c r="M29" s="39">
        <v>0</v>
      </c>
      <c r="N29" s="39">
        <v>0</v>
      </c>
      <c r="O29" s="28">
        <f t="shared" si="5"/>
        <v>5786</v>
      </c>
      <c r="P29" s="28">
        <f t="shared" si="6"/>
        <v>-96</v>
      </c>
      <c r="Q29" s="40">
        <v>198060</v>
      </c>
      <c r="R29" s="39">
        <v>0</v>
      </c>
      <c r="S29" s="39">
        <v>0</v>
      </c>
      <c r="T29" s="31">
        <f t="shared" si="7"/>
        <v>198060</v>
      </c>
      <c r="U29" s="1">
        <v>47428.44</v>
      </c>
      <c r="V29" s="1">
        <v>21070.04</v>
      </c>
      <c r="W29" s="31">
        <f t="shared" si="1"/>
        <v>42508.310058065144</v>
      </c>
      <c r="X29" s="1">
        <v>0</v>
      </c>
      <c r="Y29" s="31">
        <f t="shared" si="8"/>
        <v>111006.79005806515</v>
      </c>
      <c r="Z29" s="32">
        <f t="shared" si="9"/>
        <v>87053.209941934852</v>
      </c>
      <c r="AA29" s="31">
        <f t="shared" si="10"/>
        <v>43.952948572116959</v>
      </c>
      <c r="AB29" s="43"/>
      <c r="AD29" s="46"/>
      <c r="AE29" s="46"/>
    </row>
    <row r="30" spans="1:31" x14ac:dyDescent="0.2">
      <c r="A30" s="35">
        <v>26</v>
      </c>
      <c r="B30" s="25" t="s">
        <v>123</v>
      </c>
      <c r="C30" s="25" t="s">
        <v>124</v>
      </c>
      <c r="D30" s="25">
        <v>2026</v>
      </c>
      <c r="E30" s="38" t="s">
        <v>33</v>
      </c>
      <c r="F30" s="115"/>
      <c r="G30" s="86" t="s">
        <v>126</v>
      </c>
      <c r="H30" s="118"/>
      <c r="I30" s="37">
        <v>179211</v>
      </c>
      <c r="J30" s="37">
        <v>179653</v>
      </c>
      <c r="K30" s="38">
        <f t="shared" si="0"/>
        <v>442</v>
      </c>
      <c r="L30" s="39">
        <v>443</v>
      </c>
      <c r="M30" s="39">
        <v>0</v>
      </c>
      <c r="N30" s="38">
        <v>26</v>
      </c>
      <c r="O30" s="28">
        <f t="shared" si="5"/>
        <v>469</v>
      </c>
      <c r="P30" s="28">
        <f t="shared" si="6"/>
        <v>27</v>
      </c>
      <c r="Q30" s="40">
        <v>17540</v>
      </c>
      <c r="R30" s="39">
        <v>0</v>
      </c>
      <c r="S30" s="38">
        <v>4500</v>
      </c>
      <c r="T30" s="31">
        <f t="shared" si="7"/>
        <v>22040</v>
      </c>
      <c r="U30" s="1">
        <v>5616.07</v>
      </c>
      <c r="V30" s="1">
        <v>1800</v>
      </c>
      <c r="W30" s="31">
        <f t="shared" si="1"/>
        <v>4730.2996752486915</v>
      </c>
      <c r="X30" s="1">
        <v>0</v>
      </c>
      <c r="Y30" s="31">
        <f t="shared" si="8"/>
        <v>12146.36967524869</v>
      </c>
      <c r="Z30" s="32">
        <f t="shared" si="9"/>
        <v>9893.6303247513097</v>
      </c>
      <c r="AA30" s="31">
        <f t="shared" si="10"/>
        <v>44.889429785623001</v>
      </c>
      <c r="AB30" s="43"/>
      <c r="AD30" s="46"/>
      <c r="AE30" s="46"/>
    </row>
    <row r="31" spans="1:31" x14ac:dyDescent="0.2">
      <c r="A31" s="25">
        <v>27</v>
      </c>
      <c r="B31" s="25" t="s">
        <v>123</v>
      </c>
      <c r="C31" s="25" t="s">
        <v>124</v>
      </c>
      <c r="D31" s="25">
        <v>2026</v>
      </c>
      <c r="E31" s="38" t="s">
        <v>34</v>
      </c>
      <c r="F31" s="115"/>
      <c r="G31" s="86" t="s">
        <v>126</v>
      </c>
      <c r="H31" s="118"/>
      <c r="I31" s="37">
        <v>170467</v>
      </c>
      <c r="J31" s="37">
        <v>172113</v>
      </c>
      <c r="K31" s="38">
        <f t="shared" si="0"/>
        <v>1646</v>
      </c>
      <c r="L31" s="39">
        <v>1428</v>
      </c>
      <c r="M31" s="39">
        <v>0</v>
      </c>
      <c r="N31" s="5">
        <f>32+17+170</f>
        <v>219</v>
      </c>
      <c r="O31" s="28">
        <f t="shared" si="5"/>
        <v>1647</v>
      </c>
      <c r="P31" s="28">
        <f t="shared" si="6"/>
        <v>1</v>
      </c>
      <c r="Q31" s="40">
        <v>75971</v>
      </c>
      <c r="R31" s="39">
        <v>0</v>
      </c>
      <c r="S31" s="38">
        <f>4500+4500+13500</f>
        <v>22500</v>
      </c>
      <c r="T31" s="31">
        <f t="shared" si="7"/>
        <v>98471</v>
      </c>
      <c r="U31" s="1">
        <v>17751.22</v>
      </c>
      <c r="V31" s="1">
        <v>0</v>
      </c>
      <c r="W31" s="31">
        <f t="shared" si="1"/>
        <v>21134.180549973407</v>
      </c>
      <c r="X31" s="1">
        <v>0</v>
      </c>
      <c r="Y31" s="31">
        <f t="shared" si="8"/>
        <v>38885.400549973405</v>
      </c>
      <c r="Z31" s="32">
        <f t="shared" si="9"/>
        <v>59585.599450026595</v>
      </c>
      <c r="AA31" s="31">
        <f t="shared" si="10"/>
        <v>60.510809730810685</v>
      </c>
      <c r="AB31" s="43"/>
      <c r="AD31" s="46"/>
      <c r="AE31" s="46"/>
    </row>
    <row r="32" spans="1:31" x14ac:dyDescent="0.2">
      <c r="A32" s="35">
        <v>28</v>
      </c>
      <c r="B32" s="25" t="s">
        <v>123</v>
      </c>
      <c r="C32" s="25" t="s">
        <v>124</v>
      </c>
      <c r="D32" s="25">
        <v>2026</v>
      </c>
      <c r="E32" s="41" t="s">
        <v>89</v>
      </c>
      <c r="F32" s="115"/>
      <c r="G32" s="86" t="s">
        <v>146</v>
      </c>
      <c r="H32" s="118"/>
      <c r="I32" s="37">
        <v>76756</v>
      </c>
      <c r="J32" s="37">
        <v>78465</v>
      </c>
      <c r="K32" s="38">
        <f t="shared" si="0"/>
        <v>1709</v>
      </c>
      <c r="L32" s="39">
        <v>920</v>
      </c>
      <c r="M32" s="39">
        <v>0</v>
      </c>
      <c r="N32" s="39">
        <v>644</v>
      </c>
      <c r="O32" s="28">
        <f t="shared" si="5"/>
        <v>1564</v>
      </c>
      <c r="P32" s="28">
        <f t="shared" si="6"/>
        <v>-145</v>
      </c>
      <c r="Q32" s="40">
        <v>61367</v>
      </c>
      <c r="R32" s="39">
        <v>0</v>
      </c>
      <c r="S32" s="39">
        <v>67365</v>
      </c>
      <c r="T32" s="31">
        <f t="shared" si="7"/>
        <v>128732</v>
      </c>
      <c r="U32" s="1">
        <v>18451.64</v>
      </c>
      <c r="V32" s="1">
        <v>26349.99</v>
      </c>
      <c r="W32" s="31">
        <f t="shared" si="1"/>
        <v>27628.899173961639</v>
      </c>
      <c r="X32" s="29">
        <v>54013</v>
      </c>
      <c r="Y32" s="31">
        <f t="shared" si="8"/>
        <v>126443.52917396164</v>
      </c>
      <c r="Z32" s="93">
        <f t="shared" ref="Z32" si="11">SUM(T32-Y32)</f>
        <v>2288.4708260383632</v>
      </c>
      <c r="AA32" s="94">
        <f t="shared" ref="AA32" si="12">SUM(Z32/T32%)</f>
        <v>1.7777016018071368</v>
      </c>
      <c r="AB32" s="43"/>
      <c r="AD32" s="46"/>
      <c r="AE32" s="46"/>
    </row>
    <row r="33" spans="1:31" x14ac:dyDescent="0.2">
      <c r="A33" s="25">
        <v>29</v>
      </c>
      <c r="B33" s="25" t="s">
        <v>123</v>
      </c>
      <c r="C33" s="25" t="s">
        <v>124</v>
      </c>
      <c r="D33" s="25">
        <v>2026</v>
      </c>
      <c r="E33" s="41" t="s">
        <v>99</v>
      </c>
      <c r="F33" s="115"/>
      <c r="G33" s="86" t="s">
        <v>147</v>
      </c>
      <c r="H33" s="118"/>
      <c r="I33" s="37">
        <v>66063</v>
      </c>
      <c r="J33" s="37">
        <v>71977</v>
      </c>
      <c r="K33" s="38">
        <f t="shared" si="0"/>
        <v>5914</v>
      </c>
      <c r="L33" s="39">
        <v>5956</v>
      </c>
      <c r="M33" s="39">
        <v>0</v>
      </c>
      <c r="N33" s="39">
        <v>0</v>
      </c>
      <c r="O33" s="28">
        <f t="shared" si="5"/>
        <v>5956</v>
      </c>
      <c r="P33" s="28">
        <f t="shared" si="6"/>
        <v>42</v>
      </c>
      <c r="Q33" s="40">
        <v>200860</v>
      </c>
      <c r="R33" s="39">
        <v>0</v>
      </c>
      <c r="S33" s="39">
        <v>0</v>
      </c>
      <c r="T33" s="31">
        <f t="shared" si="7"/>
        <v>200860</v>
      </c>
      <c r="U33" s="1">
        <v>48874.84</v>
      </c>
      <c r="V33" s="1">
        <v>4500</v>
      </c>
      <c r="W33" s="31">
        <f t="shared" si="1"/>
        <v>43109.255570347195</v>
      </c>
      <c r="X33" s="29">
        <v>48225</v>
      </c>
      <c r="Y33" s="31">
        <f t="shared" si="8"/>
        <v>144709.09557034718</v>
      </c>
      <c r="Z33" s="32">
        <f t="shared" si="9"/>
        <v>56150.904429652815</v>
      </c>
      <c r="AA33" s="31">
        <f t="shared" si="10"/>
        <v>27.955244662776469</v>
      </c>
      <c r="AB33" s="43"/>
      <c r="AD33" s="46"/>
      <c r="AE33" s="46"/>
    </row>
    <row r="34" spans="1:31" x14ac:dyDescent="0.2">
      <c r="A34" s="35">
        <v>30</v>
      </c>
      <c r="B34" s="25" t="s">
        <v>123</v>
      </c>
      <c r="C34" s="25" t="s">
        <v>124</v>
      </c>
      <c r="D34" s="25">
        <v>2026</v>
      </c>
      <c r="E34" s="41" t="s">
        <v>100</v>
      </c>
      <c r="F34" s="115"/>
      <c r="G34" s="86" t="s">
        <v>147</v>
      </c>
      <c r="H34" s="118"/>
      <c r="I34" s="37">
        <v>51998</v>
      </c>
      <c r="J34" s="37">
        <v>56694</v>
      </c>
      <c r="K34" s="38">
        <f t="shared" si="0"/>
        <v>4696</v>
      </c>
      <c r="L34" s="39">
        <v>4741</v>
      </c>
      <c r="M34" s="39">
        <v>0</v>
      </c>
      <c r="N34" s="39">
        <v>0</v>
      </c>
      <c r="O34" s="28">
        <f t="shared" si="5"/>
        <v>4741</v>
      </c>
      <c r="P34" s="28">
        <f t="shared" si="6"/>
        <v>45</v>
      </c>
      <c r="Q34" s="40">
        <v>183122</v>
      </c>
      <c r="R34" s="39">
        <v>0</v>
      </c>
      <c r="S34" s="39">
        <v>0</v>
      </c>
      <c r="T34" s="31">
        <f t="shared" si="7"/>
        <v>183122</v>
      </c>
      <c r="U34" s="1">
        <v>38894.589999999997</v>
      </c>
      <c r="V34" s="1">
        <v>0</v>
      </c>
      <c r="W34" s="31">
        <f t="shared" si="1"/>
        <v>39302.265750040417</v>
      </c>
      <c r="X34" s="29">
        <v>48225</v>
      </c>
      <c r="Y34" s="31">
        <f t="shared" si="8"/>
        <v>126421.85575004041</v>
      </c>
      <c r="Z34" s="32">
        <f t="shared" si="9"/>
        <v>56700.144249959587</v>
      </c>
      <c r="AA34" s="31">
        <f t="shared" si="10"/>
        <v>30.963043353589185</v>
      </c>
      <c r="AB34" s="43"/>
      <c r="AD34" s="46"/>
      <c r="AE34" s="46"/>
    </row>
    <row r="35" spans="1:31" x14ac:dyDescent="0.2">
      <c r="A35" s="25">
        <v>31</v>
      </c>
      <c r="B35" s="25" t="s">
        <v>123</v>
      </c>
      <c r="C35" s="25" t="s">
        <v>124</v>
      </c>
      <c r="D35" s="25">
        <v>2026</v>
      </c>
      <c r="E35" s="41" t="s">
        <v>101</v>
      </c>
      <c r="F35" s="115"/>
      <c r="G35" s="86" t="s">
        <v>147</v>
      </c>
      <c r="H35" s="118"/>
      <c r="I35" s="37">
        <v>60996</v>
      </c>
      <c r="J35" s="5">
        <v>63605</v>
      </c>
      <c r="K35" s="38">
        <f t="shared" si="0"/>
        <v>2609</v>
      </c>
      <c r="L35" s="39">
        <v>1015</v>
      </c>
      <c r="M35" s="39">
        <v>0</v>
      </c>
      <c r="N35" s="39">
        <v>1508</v>
      </c>
      <c r="O35" s="28">
        <f t="shared" si="5"/>
        <v>2523</v>
      </c>
      <c r="P35" s="28">
        <f t="shared" si="6"/>
        <v>-86</v>
      </c>
      <c r="Q35" s="40">
        <v>29390</v>
      </c>
      <c r="R35" s="39">
        <v>0</v>
      </c>
      <c r="S35" s="39">
        <v>108646</v>
      </c>
      <c r="T35" s="31">
        <f t="shared" si="7"/>
        <v>138036</v>
      </c>
      <c r="U35" s="1">
        <v>20754.439999999999</v>
      </c>
      <c r="V35" s="1">
        <v>3700</v>
      </c>
      <c r="W35" s="31">
        <f t="shared" si="1"/>
        <v>29625.755261915987</v>
      </c>
      <c r="X35" s="29">
        <v>48225</v>
      </c>
      <c r="Y35" s="31">
        <f t="shared" si="8"/>
        <v>102305.19526191599</v>
      </c>
      <c r="Z35" s="32">
        <f t="shared" si="9"/>
        <v>35730.804738084014</v>
      </c>
      <c r="AA35" s="31">
        <f t="shared" si="10"/>
        <v>25.885134847491972</v>
      </c>
      <c r="AB35" s="43"/>
      <c r="AD35" s="46"/>
      <c r="AE35" s="46"/>
    </row>
    <row r="36" spans="1:31" x14ac:dyDescent="0.2">
      <c r="A36" s="35">
        <v>32</v>
      </c>
      <c r="B36" s="25" t="s">
        <v>123</v>
      </c>
      <c r="C36" s="25" t="s">
        <v>124</v>
      </c>
      <c r="D36" s="25">
        <v>2026</v>
      </c>
      <c r="E36" s="41" t="s">
        <v>103</v>
      </c>
      <c r="F36" s="115"/>
      <c r="G36" s="86" t="s">
        <v>144</v>
      </c>
      <c r="H36" s="118"/>
      <c r="I36" s="37">
        <v>78443</v>
      </c>
      <c r="J36" s="37">
        <v>80377</v>
      </c>
      <c r="K36" s="38">
        <f t="shared" si="0"/>
        <v>1934</v>
      </c>
      <c r="L36" s="39">
        <v>1967</v>
      </c>
      <c r="M36" s="39">
        <v>0</v>
      </c>
      <c r="N36" s="39">
        <v>0</v>
      </c>
      <c r="O36" s="28">
        <f t="shared" si="5"/>
        <v>1967</v>
      </c>
      <c r="P36" s="28">
        <f t="shared" si="6"/>
        <v>33</v>
      </c>
      <c r="Q36" s="40">
        <v>75557</v>
      </c>
      <c r="R36" s="39">
        <v>0</v>
      </c>
      <c r="S36" s="39">
        <v>0</v>
      </c>
      <c r="T36" s="31">
        <f t="shared" si="7"/>
        <v>75557</v>
      </c>
      <c r="U36" s="1">
        <v>18658.98</v>
      </c>
      <c r="V36" s="1">
        <v>24118.720000000001</v>
      </c>
      <c r="W36" s="31">
        <f t="shared" si="1"/>
        <v>16216.300025533819</v>
      </c>
      <c r="X36" s="1">
        <v>0</v>
      </c>
      <c r="Y36" s="31">
        <f t="shared" si="8"/>
        <v>58994.000025533816</v>
      </c>
      <c r="Z36" s="32">
        <f t="shared" si="9"/>
        <v>16562.999974466184</v>
      </c>
      <c r="AA36" s="31">
        <f t="shared" si="10"/>
        <v>21.921198531527434</v>
      </c>
      <c r="AB36" s="43"/>
      <c r="AD36" s="46"/>
      <c r="AE36" s="46"/>
    </row>
    <row r="37" spans="1:31" x14ac:dyDescent="0.2">
      <c r="A37" s="25">
        <v>33</v>
      </c>
      <c r="B37" s="25" t="s">
        <v>123</v>
      </c>
      <c r="C37" s="25" t="s">
        <v>124</v>
      </c>
      <c r="D37" s="25">
        <v>2026</v>
      </c>
      <c r="E37" s="41" t="s">
        <v>56</v>
      </c>
      <c r="F37" s="115"/>
      <c r="G37" s="86" t="s">
        <v>131</v>
      </c>
      <c r="H37" s="118"/>
      <c r="I37" s="37">
        <v>47926</v>
      </c>
      <c r="J37" s="37">
        <v>52213</v>
      </c>
      <c r="K37" s="38">
        <f t="shared" si="0"/>
        <v>4287</v>
      </c>
      <c r="L37" s="39">
        <v>4161</v>
      </c>
      <c r="M37" s="39">
        <v>0</v>
      </c>
      <c r="N37" s="39">
        <v>0</v>
      </c>
      <c r="O37" s="28">
        <f t="shared" si="5"/>
        <v>4161</v>
      </c>
      <c r="P37" s="28">
        <f t="shared" si="6"/>
        <v>-126</v>
      </c>
      <c r="Q37" s="40">
        <v>139626</v>
      </c>
      <c r="R37" s="39">
        <v>0</v>
      </c>
      <c r="S37" s="39">
        <v>0</v>
      </c>
      <c r="T37" s="31">
        <f t="shared" si="7"/>
        <v>139626</v>
      </c>
      <c r="U37" s="1">
        <v>36482.230000000003</v>
      </c>
      <c r="V37" s="1">
        <v>0</v>
      </c>
      <c r="W37" s="31">
        <f t="shared" ref="W37:W66" si="13">SUM(W$71/(Q$71+S$71)*(Q37+S37))</f>
        <v>29967.006463533293</v>
      </c>
      <c r="X37" s="29">
        <v>68717</v>
      </c>
      <c r="Y37" s="31">
        <f t="shared" si="8"/>
        <v>135166.23646353331</v>
      </c>
      <c r="Z37" s="32">
        <f t="shared" si="9"/>
        <v>4459.763536466693</v>
      </c>
      <c r="AA37" s="31">
        <f t="shared" si="10"/>
        <v>3.1940781347791192</v>
      </c>
      <c r="AB37" s="43"/>
      <c r="AD37" s="46"/>
      <c r="AE37" s="46"/>
    </row>
    <row r="38" spans="1:31" x14ac:dyDescent="0.2">
      <c r="A38" s="35">
        <v>34</v>
      </c>
      <c r="B38" s="25" t="s">
        <v>123</v>
      </c>
      <c r="C38" s="25" t="s">
        <v>124</v>
      </c>
      <c r="D38" s="25">
        <v>2026</v>
      </c>
      <c r="E38" s="41" t="s">
        <v>65</v>
      </c>
      <c r="F38" s="115"/>
      <c r="G38" s="86" t="s">
        <v>148</v>
      </c>
      <c r="H38" s="118"/>
      <c r="I38" s="37">
        <v>42200</v>
      </c>
      <c r="J38" s="37">
        <v>45918</v>
      </c>
      <c r="K38" s="38">
        <f t="shared" si="0"/>
        <v>3718</v>
      </c>
      <c r="L38" s="39">
        <v>3823</v>
      </c>
      <c r="M38" s="39">
        <v>0</v>
      </c>
      <c r="N38" s="39">
        <v>0</v>
      </c>
      <c r="O38" s="28">
        <f t="shared" si="5"/>
        <v>3823</v>
      </c>
      <c r="P38" s="28">
        <f t="shared" si="6"/>
        <v>105</v>
      </c>
      <c r="Q38" s="40">
        <v>139439</v>
      </c>
      <c r="R38" s="39">
        <v>0</v>
      </c>
      <c r="S38" s="39">
        <v>0</v>
      </c>
      <c r="T38" s="31">
        <f t="shared" si="7"/>
        <v>139439</v>
      </c>
      <c r="U38" s="1">
        <v>37135.58</v>
      </c>
      <c r="V38" s="1">
        <v>0</v>
      </c>
      <c r="W38" s="31">
        <f t="shared" si="13"/>
        <v>29926.871888248741</v>
      </c>
      <c r="X38" s="29">
        <v>56604</v>
      </c>
      <c r="Y38" s="31">
        <f t="shared" si="8"/>
        <v>123666.45188824875</v>
      </c>
      <c r="Z38" s="32">
        <f t="shared" si="9"/>
        <v>15772.548111751254</v>
      </c>
      <c r="AA38" s="31">
        <f t="shared" si="10"/>
        <v>11.311432319330498</v>
      </c>
      <c r="AB38" s="43"/>
      <c r="AD38" s="46"/>
      <c r="AE38" s="46"/>
    </row>
    <row r="39" spans="1:31" x14ac:dyDescent="0.2">
      <c r="A39" s="25">
        <v>35</v>
      </c>
      <c r="B39" s="25" t="s">
        <v>123</v>
      </c>
      <c r="C39" s="25" t="s">
        <v>124</v>
      </c>
      <c r="D39" s="25">
        <v>2026</v>
      </c>
      <c r="E39" s="41" t="s">
        <v>66</v>
      </c>
      <c r="F39" s="115"/>
      <c r="G39" s="87" t="s">
        <v>148</v>
      </c>
      <c r="H39" s="118"/>
      <c r="I39" s="37">
        <v>87787</v>
      </c>
      <c r="J39" s="37">
        <v>90988</v>
      </c>
      <c r="K39" s="38">
        <f t="shared" si="0"/>
        <v>3201</v>
      </c>
      <c r="L39" s="39">
        <v>3581</v>
      </c>
      <c r="M39" s="39">
        <v>0</v>
      </c>
      <c r="N39" s="39">
        <v>0</v>
      </c>
      <c r="O39" s="28">
        <f t="shared" si="5"/>
        <v>3581</v>
      </c>
      <c r="P39" s="28">
        <f t="shared" si="6"/>
        <v>380</v>
      </c>
      <c r="Q39" s="40">
        <v>153857</v>
      </c>
      <c r="R39" s="39">
        <v>0</v>
      </c>
      <c r="S39" s="39">
        <v>0</v>
      </c>
      <c r="T39" s="31">
        <f t="shared" si="7"/>
        <v>153857</v>
      </c>
      <c r="U39" s="1">
        <v>25655.84</v>
      </c>
      <c r="V39" s="1">
        <v>29068.76</v>
      </c>
      <c r="W39" s="31">
        <f t="shared" si="13"/>
        <v>33021.312029706802</v>
      </c>
      <c r="X39" s="29">
        <v>54060</v>
      </c>
      <c r="Y39" s="31">
        <f t="shared" si="8"/>
        <v>141805.91202970681</v>
      </c>
      <c r="Z39" s="32">
        <f t="shared" si="9"/>
        <v>12051.087970293185</v>
      </c>
      <c r="AA39" s="31">
        <f t="shared" si="10"/>
        <v>7.8326549785145856</v>
      </c>
      <c r="AB39" s="43"/>
      <c r="AD39" s="46"/>
      <c r="AE39" s="46"/>
    </row>
    <row r="40" spans="1:31" x14ac:dyDescent="0.2">
      <c r="A40" s="35">
        <v>36</v>
      </c>
      <c r="B40" s="25" t="s">
        <v>123</v>
      </c>
      <c r="C40" s="25" t="s">
        <v>124</v>
      </c>
      <c r="D40" s="25">
        <v>2026</v>
      </c>
      <c r="E40" s="41" t="s">
        <v>78</v>
      </c>
      <c r="F40" s="115"/>
      <c r="G40" s="86" t="s">
        <v>145</v>
      </c>
      <c r="H40" s="118"/>
      <c r="I40" s="37">
        <v>81136</v>
      </c>
      <c r="J40" s="37">
        <v>84794</v>
      </c>
      <c r="K40" s="38">
        <f t="shared" si="0"/>
        <v>3658</v>
      </c>
      <c r="L40" s="41">
        <v>3575</v>
      </c>
      <c r="M40" s="39">
        <v>0</v>
      </c>
      <c r="N40" s="39">
        <v>0</v>
      </c>
      <c r="O40" s="28">
        <f t="shared" si="5"/>
        <v>3575</v>
      </c>
      <c r="P40" s="28">
        <f t="shared" si="6"/>
        <v>-83</v>
      </c>
      <c r="Q40" s="40">
        <v>137233</v>
      </c>
      <c r="R40" s="39">
        <v>0</v>
      </c>
      <c r="S40" s="39">
        <v>0</v>
      </c>
      <c r="T40" s="31">
        <f t="shared" si="7"/>
        <v>137233</v>
      </c>
      <c r="U40" s="1">
        <v>32378.33</v>
      </c>
      <c r="V40" s="1">
        <v>37472.22</v>
      </c>
      <c r="W40" s="31">
        <f t="shared" si="13"/>
        <v>29453.412673929386</v>
      </c>
      <c r="X40" s="1">
        <v>0</v>
      </c>
      <c r="Y40" s="31">
        <f t="shared" si="8"/>
        <v>99303.962673929389</v>
      </c>
      <c r="Z40" s="32">
        <f t="shared" si="9"/>
        <v>37929.037326070611</v>
      </c>
      <c r="AA40" s="31">
        <f t="shared" si="10"/>
        <v>27.63842321166965</v>
      </c>
      <c r="AB40" s="43"/>
      <c r="AD40" s="46"/>
      <c r="AE40" s="46"/>
    </row>
    <row r="41" spans="1:31" x14ac:dyDescent="0.2">
      <c r="A41" s="25">
        <v>37</v>
      </c>
      <c r="B41" s="25" t="s">
        <v>123</v>
      </c>
      <c r="C41" s="25" t="s">
        <v>124</v>
      </c>
      <c r="D41" s="25">
        <v>2026</v>
      </c>
      <c r="E41" s="88" t="s">
        <v>118</v>
      </c>
      <c r="F41" s="116"/>
      <c r="G41" s="9" t="s">
        <v>144</v>
      </c>
      <c r="H41" s="119"/>
      <c r="I41" s="37">
        <v>54332</v>
      </c>
      <c r="J41" s="37">
        <v>54574</v>
      </c>
      <c r="K41" s="38">
        <f t="shared" si="0"/>
        <v>242</v>
      </c>
      <c r="L41" s="41">
        <v>221</v>
      </c>
      <c r="M41" s="39">
        <v>0</v>
      </c>
      <c r="N41" s="39">
        <v>0</v>
      </c>
      <c r="O41" s="28">
        <f t="shared" si="5"/>
        <v>221</v>
      </c>
      <c r="P41" s="28">
        <f t="shared" si="6"/>
        <v>-21</v>
      </c>
      <c r="Q41" s="40">
        <v>8261</v>
      </c>
      <c r="R41" s="39">
        <v>0</v>
      </c>
      <c r="S41" s="39">
        <v>0</v>
      </c>
      <c r="T41" s="31">
        <f t="shared" si="7"/>
        <v>8261</v>
      </c>
      <c r="U41" s="1">
        <v>0</v>
      </c>
      <c r="V41" s="1">
        <v>0</v>
      </c>
      <c r="W41" s="31">
        <f t="shared" si="13"/>
        <v>1773.0038846292848</v>
      </c>
      <c r="X41" s="1">
        <v>0</v>
      </c>
      <c r="Y41" s="31">
        <f t="shared" si="8"/>
        <v>1773.0038846292848</v>
      </c>
      <c r="Z41" s="32">
        <f t="shared" si="9"/>
        <v>6487.9961153707154</v>
      </c>
      <c r="AA41" s="31">
        <f t="shared" si="10"/>
        <v>78.537660275641144</v>
      </c>
      <c r="AB41" s="43"/>
      <c r="AD41" s="46"/>
      <c r="AE41" s="46"/>
    </row>
    <row r="42" spans="1:31" x14ac:dyDescent="0.2">
      <c r="A42" s="35">
        <v>38</v>
      </c>
      <c r="B42" s="25" t="s">
        <v>123</v>
      </c>
      <c r="C42" s="25" t="s">
        <v>124</v>
      </c>
      <c r="D42" s="25">
        <v>2026</v>
      </c>
      <c r="E42" s="48" t="s">
        <v>87</v>
      </c>
      <c r="F42" s="48" t="s">
        <v>88</v>
      </c>
      <c r="G42" s="86" t="s">
        <v>157</v>
      </c>
      <c r="H42" s="36">
        <v>1</v>
      </c>
      <c r="I42" s="5">
        <v>11303</v>
      </c>
      <c r="J42" s="5">
        <v>11966</v>
      </c>
      <c r="K42" s="38">
        <f t="shared" si="0"/>
        <v>663</v>
      </c>
      <c r="L42" s="39">
        <v>0</v>
      </c>
      <c r="M42" s="39">
        <v>0</v>
      </c>
      <c r="N42" s="38">
        <v>663</v>
      </c>
      <c r="O42" s="28">
        <f t="shared" si="5"/>
        <v>663</v>
      </c>
      <c r="P42" s="28">
        <f t="shared" si="6"/>
        <v>0</v>
      </c>
      <c r="Q42" s="39">
        <v>0</v>
      </c>
      <c r="R42" s="39">
        <v>0</v>
      </c>
      <c r="S42" s="6">
        <v>70991</v>
      </c>
      <c r="T42" s="31">
        <f t="shared" si="7"/>
        <v>70991</v>
      </c>
      <c r="U42" s="1">
        <v>0</v>
      </c>
      <c r="V42" s="1">
        <v>0</v>
      </c>
      <c r="W42" s="31">
        <f t="shared" si="13"/>
        <v>15236.329593719593</v>
      </c>
      <c r="X42" s="29">
        <v>48260</v>
      </c>
      <c r="Y42" s="31">
        <f t="shared" si="8"/>
        <v>63496.329593719594</v>
      </c>
      <c r="Z42" s="32">
        <f t="shared" si="9"/>
        <v>7494.6704062804056</v>
      </c>
      <c r="AA42" s="31">
        <f t="shared" si="10"/>
        <v>10.557212049809703</v>
      </c>
      <c r="AB42" s="43"/>
      <c r="AD42" s="34"/>
      <c r="AE42" s="34"/>
    </row>
    <row r="43" spans="1:31" x14ac:dyDescent="0.2">
      <c r="A43" s="25">
        <v>39</v>
      </c>
      <c r="B43" s="25" t="s">
        <v>123</v>
      </c>
      <c r="C43" s="25" t="s">
        <v>124</v>
      </c>
      <c r="D43" s="25">
        <v>2026</v>
      </c>
      <c r="E43" s="41" t="s">
        <v>79</v>
      </c>
      <c r="F43" s="109" t="s">
        <v>80</v>
      </c>
      <c r="G43" s="89" t="s">
        <v>153</v>
      </c>
      <c r="H43" s="110">
        <v>2</v>
      </c>
      <c r="I43" s="5">
        <v>37610</v>
      </c>
      <c r="J43" s="5">
        <v>39170</v>
      </c>
      <c r="K43" s="38">
        <f t="shared" si="0"/>
        <v>1560</v>
      </c>
      <c r="L43" s="39">
        <v>295</v>
      </c>
      <c r="M43" s="39">
        <v>0</v>
      </c>
      <c r="N43" s="38">
        <v>1119</v>
      </c>
      <c r="O43" s="28">
        <f t="shared" si="5"/>
        <v>1414</v>
      </c>
      <c r="P43" s="28">
        <f t="shared" si="6"/>
        <v>-146</v>
      </c>
      <c r="Q43" s="40">
        <v>9746</v>
      </c>
      <c r="R43" s="39">
        <v>0</v>
      </c>
      <c r="S43" s="38">
        <v>65158</v>
      </c>
      <c r="T43" s="31">
        <f t="shared" si="7"/>
        <v>74904</v>
      </c>
      <c r="U43" s="1">
        <v>0</v>
      </c>
      <c r="V43" s="1">
        <v>0</v>
      </c>
      <c r="W43" s="31">
        <f t="shared" si="13"/>
        <v>16076.150947133756</v>
      </c>
      <c r="X43" s="29">
        <v>32250</v>
      </c>
      <c r="Y43" s="31">
        <f t="shared" si="8"/>
        <v>48326.150947133756</v>
      </c>
      <c r="Z43" s="32">
        <f t="shared" si="9"/>
        <v>26577.849052866244</v>
      </c>
      <c r="AA43" s="31">
        <f t="shared" si="10"/>
        <v>35.482549734148037</v>
      </c>
      <c r="AB43" s="43"/>
      <c r="AD43" s="44"/>
      <c r="AE43" s="44"/>
    </row>
    <row r="44" spans="1:31" x14ac:dyDescent="0.2">
      <c r="A44" s="35">
        <v>40</v>
      </c>
      <c r="B44" s="25" t="s">
        <v>123</v>
      </c>
      <c r="C44" s="25" t="s">
        <v>124</v>
      </c>
      <c r="D44" s="25">
        <v>2026</v>
      </c>
      <c r="E44" s="41" t="s">
        <v>81</v>
      </c>
      <c r="F44" s="109"/>
      <c r="G44" s="89" t="s">
        <v>153</v>
      </c>
      <c r="H44" s="110"/>
      <c r="I44" s="5">
        <v>39736</v>
      </c>
      <c r="J44" s="5">
        <v>40811</v>
      </c>
      <c r="K44" s="38">
        <f t="shared" si="0"/>
        <v>1075</v>
      </c>
      <c r="L44" s="39">
        <v>10</v>
      </c>
      <c r="M44" s="39">
        <v>0</v>
      </c>
      <c r="N44" s="36">
        <v>1075</v>
      </c>
      <c r="O44" s="28">
        <f t="shared" si="5"/>
        <v>1085</v>
      </c>
      <c r="P44" s="28">
        <f t="shared" si="6"/>
        <v>10</v>
      </c>
      <c r="Q44" s="39">
        <v>1150</v>
      </c>
      <c r="R44" s="39">
        <v>0</v>
      </c>
      <c r="S44" s="38">
        <v>60850</v>
      </c>
      <c r="T44" s="31">
        <f t="shared" si="7"/>
        <v>62000</v>
      </c>
      <c r="U44" s="1">
        <v>0</v>
      </c>
      <c r="V44" s="1">
        <v>0</v>
      </c>
      <c r="W44" s="31">
        <f t="shared" si="13"/>
        <v>13306.650629102489</v>
      </c>
      <c r="X44" s="29">
        <v>32250</v>
      </c>
      <c r="Y44" s="31">
        <f t="shared" si="8"/>
        <v>45556.650629102485</v>
      </c>
      <c r="Z44" s="32">
        <f t="shared" si="9"/>
        <v>16443.349370897515</v>
      </c>
      <c r="AA44" s="31">
        <f t="shared" si="10"/>
        <v>26.521531243383087</v>
      </c>
      <c r="AB44" s="43"/>
    </row>
    <row r="45" spans="1:31" x14ac:dyDescent="0.2">
      <c r="A45" s="25">
        <v>41</v>
      </c>
      <c r="B45" s="25" t="s">
        <v>123</v>
      </c>
      <c r="C45" s="25" t="s">
        <v>124</v>
      </c>
      <c r="D45" s="25">
        <v>2026</v>
      </c>
      <c r="E45" s="36" t="s">
        <v>112</v>
      </c>
      <c r="F45" s="112" t="s">
        <v>60</v>
      </c>
      <c r="G45" s="86" t="s">
        <v>151</v>
      </c>
      <c r="H45" s="104">
        <v>4</v>
      </c>
      <c r="I45" s="37">
        <v>77197</v>
      </c>
      <c r="J45" s="37">
        <v>79495</v>
      </c>
      <c r="K45" s="38">
        <f t="shared" si="0"/>
        <v>2298</v>
      </c>
      <c r="L45" s="39">
        <v>2322</v>
      </c>
      <c r="M45" s="39">
        <v>0</v>
      </c>
      <c r="N45" s="39">
        <v>0</v>
      </c>
      <c r="O45" s="28">
        <f t="shared" si="5"/>
        <v>2322</v>
      </c>
      <c r="P45" s="28">
        <f t="shared" si="6"/>
        <v>24</v>
      </c>
      <c r="Q45" s="40">
        <v>77771</v>
      </c>
      <c r="R45" s="39">
        <v>0</v>
      </c>
      <c r="S45" s="39">
        <v>0</v>
      </c>
      <c r="T45" s="31">
        <f t="shared" si="7"/>
        <v>77771</v>
      </c>
      <c r="U45" s="1">
        <v>17426.87</v>
      </c>
      <c r="V45" s="1">
        <v>0</v>
      </c>
      <c r="W45" s="31">
        <f t="shared" si="13"/>
        <v>16691.476227031122</v>
      </c>
      <c r="X45" s="1">
        <v>0</v>
      </c>
      <c r="Y45" s="31">
        <f t="shared" si="8"/>
        <v>34118.346227031121</v>
      </c>
      <c r="Z45" s="32">
        <f t="shared" si="9"/>
        <v>43652.653772968879</v>
      </c>
      <c r="AA45" s="31">
        <f t="shared" si="10"/>
        <v>56.12973187045155</v>
      </c>
      <c r="AB45" s="43"/>
    </row>
    <row r="46" spans="1:31" x14ac:dyDescent="0.2">
      <c r="A46" s="35">
        <v>42</v>
      </c>
      <c r="B46" s="25" t="s">
        <v>123</v>
      </c>
      <c r="C46" s="25" t="s">
        <v>124</v>
      </c>
      <c r="D46" s="25">
        <v>2026</v>
      </c>
      <c r="E46" s="36" t="s">
        <v>53</v>
      </c>
      <c r="F46" s="113"/>
      <c r="G46" s="86" t="s">
        <v>151</v>
      </c>
      <c r="H46" s="105"/>
      <c r="I46" s="37">
        <v>91491</v>
      </c>
      <c r="J46" s="37">
        <v>94048</v>
      </c>
      <c r="K46" s="38">
        <f t="shared" si="0"/>
        <v>2557</v>
      </c>
      <c r="L46" s="39">
        <v>2699</v>
      </c>
      <c r="M46" s="39">
        <v>0</v>
      </c>
      <c r="N46" s="39">
        <v>0</v>
      </c>
      <c r="O46" s="28">
        <f t="shared" si="5"/>
        <v>2699</v>
      </c>
      <c r="P46" s="28">
        <f t="shared" si="6"/>
        <v>142</v>
      </c>
      <c r="Q46" s="40">
        <v>86145</v>
      </c>
      <c r="R46" s="39">
        <v>0</v>
      </c>
      <c r="S46" s="39">
        <v>0</v>
      </c>
      <c r="T46" s="31">
        <f t="shared" si="7"/>
        <v>86145</v>
      </c>
      <c r="U46" s="1">
        <v>14686.8</v>
      </c>
      <c r="V46" s="1">
        <v>9345.6</v>
      </c>
      <c r="W46" s="31">
        <f t="shared" si="13"/>
        <v>18488.732555548933</v>
      </c>
      <c r="X46" s="29">
        <v>12601</v>
      </c>
      <c r="Y46" s="31">
        <f t="shared" si="8"/>
        <v>55122.132555548931</v>
      </c>
      <c r="Z46" s="32">
        <f t="shared" si="9"/>
        <v>31022.867444451069</v>
      </c>
      <c r="AA46" s="31">
        <f t="shared" si="10"/>
        <v>36.012383126648174</v>
      </c>
      <c r="AB46" s="43"/>
      <c r="AC46" s="8"/>
    </row>
    <row r="47" spans="1:31" x14ac:dyDescent="0.2">
      <c r="A47" s="25">
        <v>43</v>
      </c>
      <c r="B47" s="25" t="s">
        <v>123</v>
      </c>
      <c r="C47" s="25" t="s">
        <v>124</v>
      </c>
      <c r="D47" s="25">
        <v>2026</v>
      </c>
      <c r="E47" s="47" t="s">
        <v>48</v>
      </c>
      <c r="F47" s="113"/>
      <c r="G47" s="86" t="s">
        <v>150</v>
      </c>
      <c r="H47" s="105"/>
      <c r="I47" s="37">
        <v>94604</v>
      </c>
      <c r="J47" s="37">
        <v>96560</v>
      </c>
      <c r="K47" s="38">
        <f t="shared" si="0"/>
        <v>1956</v>
      </c>
      <c r="L47" s="39">
        <v>1987</v>
      </c>
      <c r="M47" s="39">
        <v>0</v>
      </c>
      <c r="N47" s="39">
        <v>0</v>
      </c>
      <c r="O47" s="28">
        <f t="shared" si="5"/>
        <v>1987</v>
      </c>
      <c r="P47" s="28">
        <f t="shared" si="6"/>
        <v>31</v>
      </c>
      <c r="Q47" s="40">
        <v>63734</v>
      </c>
      <c r="R47" s="39">
        <v>0</v>
      </c>
      <c r="S47" s="39">
        <v>0</v>
      </c>
      <c r="T47" s="31">
        <f t="shared" si="7"/>
        <v>63734</v>
      </c>
      <c r="U47" s="1">
        <v>10381.24</v>
      </c>
      <c r="V47" s="1">
        <v>0</v>
      </c>
      <c r="W47" s="31">
        <f t="shared" si="13"/>
        <v>13678.807599922871</v>
      </c>
      <c r="X47" s="1">
        <v>0</v>
      </c>
      <c r="Y47" s="31">
        <f t="shared" si="8"/>
        <v>24060.047599922873</v>
      </c>
      <c r="Z47" s="32">
        <f t="shared" si="9"/>
        <v>39673.952400077127</v>
      </c>
      <c r="AA47" s="31">
        <f t="shared" si="10"/>
        <v>62.24927417089328</v>
      </c>
      <c r="AB47" s="43"/>
    </row>
    <row r="48" spans="1:31" x14ac:dyDescent="0.2">
      <c r="A48" s="35">
        <v>44</v>
      </c>
      <c r="B48" s="25" t="s">
        <v>123</v>
      </c>
      <c r="C48" s="25" t="s">
        <v>124</v>
      </c>
      <c r="D48" s="25">
        <v>2026</v>
      </c>
      <c r="E48" s="41" t="s">
        <v>104</v>
      </c>
      <c r="F48" s="113"/>
      <c r="G48" s="86" t="s">
        <v>152</v>
      </c>
      <c r="H48" s="105"/>
      <c r="I48" s="37">
        <v>46934</v>
      </c>
      <c r="J48" s="37">
        <v>52717</v>
      </c>
      <c r="K48" s="38">
        <f t="shared" si="0"/>
        <v>5783</v>
      </c>
      <c r="L48" s="39">
        <v>5591</v>
      </c>
      <c r="M48" s="39">
        <v>0</v>
      </c>
      <c r="N48" s="39">
        <v>0</v>
      </c>
      <c r="O48" s="28">
        <f t="shared" si="5"/>
        <v>5591</v>
      </c>
      <c r="P48" s="28">
        <f t="shared" si="6"/>
        <v>-192</v>
      </c>
      <c r="Q48" s="40">
        <v>97790</v>
      </c>
      <c r="R48" s="39">
        <v>0</v>
      </c>
      <c r="S48" s="39">
        <v>0</v>
      </c>
      <c r="T48" s="31">
        <f t="shared" si="7"/>
        <v>97790</v>
      </c>
      <c r="U48" s="1">
        <v>36865.980000000003</v>
      </c>
      <c r="V48" s="1">
        <v>14536.73</v>
      </c>
      <c r="W48" s="31">
        <f t="shared" si="13"/>
        <v>20988.022016450523</v>
      </c>
      <c r="X48" s="29">
        <v>19745</v>
      </c>
      <c r="Y48" s="31">
        <f t="shared" si="8"/>
        <v>92135.732016450522</v>
      </c>
      <c r="Z48" s="32">
        <f t="shared" si="9"/>
        <v>5654.2679835494782</v>
      </c>
      <c r="AA48" s="31">
        <f t="shared" si="10"/>
        <v>5.7820513176699846</v>
      </c>
      <c r="AB48" s="43"/>
    </row>
    <row r="49" spans="1:28" x14ac:dyDescent="0.2">
      <c r="A49" s="25">
        <v>45</v>
      </c>
      <c r="B49" s="25" t="s">
        <v>123</v>
      </c>
      <c r="C49" s="25" t="s">
        <v>124</v>
      </c>
      <c r="D49" s="25">
        <v>2026</v>
      </c>
      <c r="E49" s="2" t="s">
        <v>49</v>
      </c>
      <c r="F49" s="35" t="s">
        <v>50</v>
      </c>
      <c r="G49" s="86" t="s">
        <v>149</v>
      </c>
      <c r="H49" s="48">
        <v>1</v>
      </c>
      <c r="I49" s="37">
        <v>87847</v>
      </c>
      <c r="J49" s="37">
        <v>90200</v>
      </c>
      <c r="K49" s="38">
        <f>J49-I49</f>
        <v>2353</v>
      </c>
      <c r="L49" s="37">
        <v>2435</v>
      </c>
      <c r="M49" s="39">
        <v>0</v>
      </c>
      <c r="N49" s="39">
        <v>0</v>
      </c>
      <c r="O49" s="28">
        <f t="shared" si="5"/>
        <v>2435</v>
      </c>
      <c r="P49" s="28">
        <f t="shared" si="6"/>
        <v>82</v>
      </c>
      <c r="Q49" s="49">
        <v>101245</v>
      </c>
      <c r="R49" s="39">
        <v>0</v>
      </c>
      <c r="S49" s="39">
        <v>0</v>
      </c>
      <c r="T49" s="31">
        <f t="shared" si="7"/>
        <v>101245</v>
      </c>
      <c r="U49" s="1">
        <v>0</v>
      </c>
      <c r="V49" s="1">
        <v>0</v>
      </c>
      <c r="W49" s="31">
        <f t="shared" si="13"/>
        <v>21729.54585392712</v>
      </c>
      <c r="X49" s="1">
        <v>0</v>
      </c>
      <c r="Y49" s="31">
        <f t="shared" si="8"/>
        <v>21729.54585392712</v>
      </c>
      <c r="Z49" s="32">
        <f t="shared" si="9"/>
        <v>79515.45414607288</v>
      </c>
      <c r="AA49" s="31">
        <f t="shared" si="10"/>
        <v>78.537660275641144</v>
      </c>
      <c r="AB49" s="43"/>
    </row>
    <row r="50" spans="1:28" x14ac:dyDescent="0.2">
      <c r="A50" s="35">
        <v>46</v>
      </c>
      <c r="B50" s="25" t="s">
        <v>123</v>
      </c>
      <c r="C50" s="25" t="s">
        <v>124</v>
      </c>
      <c r="D50" s="25">
        <v>2026</v>
      </c>
      <c r="E50" s="41" t="s">
        <v>108</v>
      </c>
      <c r="F50" s="109" t="s">
        <v>110</v>
      </c>
      <c r="G50" s="35" t="s">
        <v>167</v>
      </c>
      <c r="H50" s="110">
        <v>2</v>
      </c>
      <c r="I50" s="37">
        <v>84828</v>
      </c>
      <c r="J50" s="37">
        <v>87498</v>
      </c>
      <c r="K50" s="38">
        <f t="shared" si="0"/>
        <v>2670</v>
      </c>
      <c r="L50" s="39">
        <v>3136</v>
      </c>
      <c r="M50" s="39">
        <v>0</v>
      </c>
      <c r="N50" s="39">
        <v>0</v>
      </c>
      <c r="O50" s="28">
        <f t="shared" si="5"/>
        <v>3136</v>
      </c>
      <c r="P50" s="28">
        <f t="shared" si="6"/>
        <v>466</v>
      </c>
      <c r="Q50" s="40">
        <v>99744</v>
      </c>
      <c r="R50" s="39">
        <v>0</v>
      </c>
      <c r="S50" s="39">
        <v>0</v>
      </c>
      <c r="T50" s="31">
        <f t="shared" si="7"/>
        <v>99744</v>
      </c>
      <c r="U50" s="1">
        <v>0</v>
      </c>
      <c r="V50" s="1">
        <v>0</v>
      </c>
      <c r="W50" s="31">
        <f t="shared" si="13"/>
        <v>21407.396134664494</v>
      </c>
      <c r="X50" s="1">
        <v>0</v>
      </c>
      <c r="Y50" s="31">
        <f t="shared" si="8"/>
        <v>21407.396134664494</v>
      </c>
      <c r="Z50" s="32">
        <f t="shared" si="9"/>
        <v>78336.603865335506</v>
      </c>
      <c r="AA50" s="31">
        <f t="shared" si="10"/>
        <v>78.537660275641144</v>
      </c>
      <c r="AB50" s="43"/>
    </row>
    <row r="51" spans="1:28" x14ac:dyDescent="0.2">
      <c r="A51" s="25">
        <v>47</v>
      </c>
      <c r="B51" s="25" t="s">
        <v>123</v>
      </c>
      <c r="C51" s="25" t="s">
        <v>124</v>
      </c>
      <c r="D51" s="25">
        <v>2026</v>
      </c>
      <c r="E51" s="41" t="s">
        <v>109</v>
      </c>
      <c r="F51" s="109"/>
      <c r="G51" s="92" t="s">
        <v>167</v>
      </c>
      <c r="H51" s="110"/>
      <c r="I51" s="37">
        <v>68837</v>
      </c>
      <c r="J51" s="37">
        <v>71179</v>
      </c>
      <c r="K51" s="38">
        <f t="shared" si="0"/>
        <v>2342</v>
      </c>
      <c r="L51" s="39">
        <v>2459</v>
      </c>
      <c r="M51" s="39">
        <v>0</v>
      </c>
      <c r="N51" s="39">
        <v>0</v>
      </c>
      <c r="O51" s="28">
        <f t="shared" si="5"/>
        <v>2459</v>
      </c>
      <c r="P51" s="28">
        <f t="shared" si="6"/>
        <v>117</v>
      </c>
      <c r="Q51" s="40">
        <v>84682</v>
      </c>
      <c r="R51" s="39">
        <v>0</v>
      </c>
      <c r="S51" s="39">
        <v>0</v>
      </c>
      <c r="T51" s="31">
        <f t="shared" si="7"/>
        <v>84682</v>
      </c>
      <c r="U51" s="1">
        <v>0</v>
      </c>
      <c r="V51" s="1">
        <v>18346.59</v>
      </c>
      <c r="W51" s="31">
        <f t="shared" si="13"/>
        <v>18174.738525381563</v>
      </c>
      <c r="X51" s="1">
        <v>0</v>
      </c>
      <c r="Y51" s="31">
        <f t="shared" si="8"/>
        <v>36521.328525381563</v>
      </c>
      <c r="Z51" s="32">
        <f t="shared" si="9"/>
        <v>48160.671474618437</v>
      </c>
      <c r="AA51" s="31">
        <f t="shared" si="10"/>
        <v>56.872383121110076</v>
      </c>
      <c r="AB51" s="43"/>
    </row>
    <row r="52" spans="1:28" x14ac:dyDescent="0.2">
      <c r="A52" s="35">
        <v>48</v>
      </c>
      <c r="B52" s="25" t="s">
        <v>123</v>
      </c>
      <c r="C52" s="25" t="s">
        <v>124</v>
      </c>
      <c r="D52" s="25">
        <v>2026</v>
      </c>
      <c r="E52" s="39" t="s">
        <v>55</v>
      </c>
      <c r="F52" s="111" t="s">
        <v>90</v>
      </c>
      <c r="G52" s="86" t="s">
        <v>155</v>
      </c>
      <c r="H52" s="100">
        <v>2</v>
      </c>
      <c r="I52" s="37">
        <v>43638</v>
      </c>
      <c r="J52" s="37">
        <v>43680</v>
      </c>
      <c r="K52" s="38">
        <f t="shared" si="0"/>
        <v>42</v>
      </c>
      <c r="L52" s="39">
        <v>40</v>
      </c>
      <c r="M52" s="39">
        <v>0</v>
      </c>
      <c r="N52" s="39">
        <v>0</v>
      </c>
      <c r="O52" s="28">
        <f t="shared" si="5"/>
        <v>40</v>
      </c>
      <c r="P52" s="28">
        <f t="shared" si="6"/>
        <v>-2</v>
      </c>
      <c r="Q52" s="39">
        <v>8750</v>
      </c>
      <c r="R52" s="39">
        <v>0</v>
      </c>
      <c r="S52" s="39">
        <v>0</v>
      </c>
      <c r="T52" s="31">
        <f t="shared" si="7"/>
        <v>8750</v>
      </c>
      <c r="U52" s="1">
        <v>0</v>
      </c>
      <c r="V52" s="1">
        <v>0</v>
      </c>
      <c r="W52" s="31">
        <f t="shared" si="13"/>
        <v>1877.9547258813996</v>
      </c>
      <c r="X52" s="29">
        <v>91042</v>
      </c>
      <c r="Y52" s="31">
        <f t="shared" si="8"/>
        <v>92919.954725881398</v>
      </c>
      <c r="Z52" s="93">
        <f t="shared" ref="Z52" si="14">SUM(T52-Y52)</f>
        <v>-84169.954725881398</v>
      </c>
      <c r="AA52" s="94">
        <f t="shared" ref="AA52" si="15">SUM(Z52/T52%)</f>
        <v>-961.94233972435882</v>
      </c>
      <c r="AB52" s="43"/>
    </row>
    <row r="53" spans="1:28" x14ac:dyDescent="0.2">
      <c r="A53" s="25">
        <v>49</v>
      </c>
      <c r="B53" s="25" t="s">
        <v>123</v>
      </c>
      <c r="C53" s="25" t="s">
        <v>124</v>
      </c>
      <c r="D53" s="25">
        <v>2026</v>
      </c>
      <c r="E53" s="37" t="s">
        <v>111</v>
      </c>
      <c r="F53" s="111"/>
      <c r="G53" s="86" t="s">
        <v>155</v>
      </c>
      <c r="H53" s="100"/>
      <c r="I53" s="37">
        <v>34386</v>
      </c>
      <c r="J53" s="37">
        <v>34719</v>
      </c>
      <c r="K53" s="38">
        <f t="shared" si="0"/>
        <v>333</v>
      </c>
      <c r="L53" s="39">
        <v>511</v>
      </c>
      <c r="M53" s="39">
        <v>0</v>
      </c>
      <c r="N53" s="39">
        <v>0</v>
      </c>
      <c r="O53" s="28">
        <f t="shared" si="5"/>
        <v>511</v>
      </c>
      <c r="P53" s="28">
        <f t="shared" si="6"/>
        <v>178</v>
      </c>
      <c r="Q53" s="50">
        <v>72920</v>
      </c>
      <c r="R53" s="39">
        <v>0</v>
      </c>
      <c r="S53" s="39">
        <v>0</v>
      </c>
      <c r="T53" s="31">
        <f t="shared" si="7"/>
        <v>72920</v>
      </c>
      <c r="U53" s="1">
        <v>4568.49</v>
      </c>
      <c r="V53" s="1">
        <v>0</v>
      </c>
      <c r="W53" s="31">
        <f t="shared" si="13"/>
        <v>15650.338127002477</v>
      </c>
      <c r="X53" s="29">
        <v>91042</v>
      </c>
      <c r="Y53" s="31">
        <f t="shared" si="8"/>
        <v>111260.82812700247</v>
      </c>
      <c r="Z53" s="93">
        <f t="shared" ref="Z53" si="16">SUM(T53-Y53)</f>
        <v>-38340.828127002475</v>
      </c>
      <c r="AA53" s="94">
        <f t="shared" ref="AA53" si="17">SUM(Z53/T53%)</f>
        <v>-52.579303520299604</v>
      </c>
      <c r="AB53" s="43"/>
    </row>
    <row r="54" spans="1:28" x14ac:dyDescent="0.2">
      <c r="A54" s="35">
        <v>50</v>
      </c>
      <c r="B54" s="25" t="s">
        <v>123</v>
      </c>
      <c r="C54" s="25" t="s">
        <v>124</v>
      </c>
      <c r="D54" s="25">
        <v>2026</v>
      </c>
      <c r="E54" s="41" t="s">
        <v>82</v>
      </c>
      <c r="F54" s="109" t="s">
        <v>83</v>
      </c>
      <c r="G54" s="89" t="s">
        <v>154</v>
      </c>
      <c r="H54" s="108">
        <v>2</v>
      </c>
      <c r="I54" s="37">
        <v>41106</v>
      </c>
      <c r="J54" s="37">
        <v>45658</v>
      </c>
      <c r="K54" s="38">
        <f t="shared" si="0"/>
        <v>4552</v>
      </c>
      <c r="L54" s="39">
        <v>4486</v>
      </c>
      <c r="M54" s="39">
        <v>0</v>
      </c>
      <c r="N54" s="39">
        <v>0</v>
      </c>
      <c r="O54" s="28">
        <f t="shared" si="5"/>
        <v>4486</v>
      </c>
      <c r="P54" s="28">
        <f t="shared" si="6"/>
        <v>-66</v>
      </c>
      <c r="Q54" s="39">
        <v>188654</v>
      </c>
      <c r="R54" s="39">
        <v>0</v>
      </c>
      <c r="S54" s="39">
        <v>0</v>
      </c>
      <c r="T54" s="31">
        <f t="shared" si="7"/>
        <v>188654</v>
      </c>
      <c r="U54" s="1">
        <v>43904.47</v>
      </c>
      <c r="V54" s="1">
        <v>43632.86</v>
      </c>
      <c r="W54" s="31">
        <f t="shared" si="13"/>
        <v>40489.562383591954</v>
      </c>
      <c r="X54" s="29">
        <v>58824</v>
      </c>
      <c r="Y54" s="31">
        <f t="shared" si="8"/>
        <v>186850.89238359197</v>
      </c>
      <c r="Z54" s="93">
        <f t="shared" ref="Z54" si="18">SUM(T54-Y54)</f>
        <v>1803.1076164080296</v>
      </c>
      <c r="AA54" s="94">
        <f t="shared" ref="AA54" si="19">SUM(Z54/T54%)</f>
        <v>0.95577491938046877</v>
      </c>
      <c r="AB54" s="43"/>
    </row>
    <row r="55" spans="1:28" x14ac:dyDescent="0.2">
      <c r="A55" s="25">
        <v>51</v>
      </c>
      <c r="B55" s="25" t="s">
        <v>123</v>
      </c>
      <c r="C55" s="25" t="s">
        <v>124</v>
      </c>
      <c r="D55" s="25">
        <v>2026</v>
      </c>
      <c r="E55" s="41" t="s">
        <v>84</v>
      </c>
      <c r="F55" s="109"/>
      <c r="G55" s="89" t="s">
        <v>154</v>
      </c>
      <c r="H55" s="108"/>
      <c r="I55" s="5">
        <v>86872</v>
      </c>
      <c r="J55" s="5">
        <v>89829</v>
      </c>
      <c r="K55" s="38">
        <f t="shared" si="0"/>
        <v>2957</v>
      </c>
      <c r="L55" s="39">
        <v>0</v>
      </c>
      <c r="M55" s="39">
        <v>0</v>
      </c>
      <c r="N55" s="39">
        <v>2955</v>
      </c>
      <c r="O55" s="28">
        <f t="shared" si="5"/>
        <v>2955</v>
      </c>
      <c r="P55" s="28">
        <f t="shared" si="6"/>
        <v>-2</v>
      </c>
      <c r="Q55" s="39">
        <v>0</v>
      </c>
      <c r="R55" s="39">
        <v>0</v>
      </c>
      <c r="S55" s="39">
        <v>158500</v>
      </c>
      <c r="T55" s="31">
        <f t="shared" si="7"/>
        <v>158500</v>
      </c>
      <c r="U55" s="1">
        <v>20953.12</v>
      </c>
      <c r="V55" s="1">
        <v>0</v>
      </c>
      <c r="W55" s="31">
        <f t="shared" si="13"/>
        <v>34017.808463108784</v>
      </c>
      <c r="X55" s="29">
        <v>58824</v>
      </c>
      <c r="Y55" s="31">
        <f t="shared" si="8"/>
        <v>113794.92846310878</v>
      </c>
      <c r="Z55" s="32">
        <f t="shared" si="9"/>
        <v>44705.071536891221</v>
      </c>
      <c r="AA55" s="31">
        <f t="shared" si="10"/>
        <v>28.205092452297301</v>
      </c>
      <c r="AB55" s="43"/>
    </row>
    <row r="56" spans="1:28" x14ac:dyDescent="0.2">
      <c r="A56" s="35">
        <v>52</v>
      </c>
      <c r="B56" s="25" t="s">
        <v>123</v>
      </c>
      <c r="C56" s="25" t="s">
        <v>124</v>
      </c>
      <c r="D56" s="25">
        <v>2026</v>
      </c>
      <c r="E56" s="39" t="s">
        <v>51</v>
      </c>
      <c r="F56" s="101" t="s">
        <v>52</v>
      </c>
      <c r="G56" s="86" t="s">
        <v>127</v>
      </c>
      <c r="H56" s="104">
        <v>8</v>
      </c>
      <c r="I56" s="36">
        <v>124318</v>
      </c>
      <c r="J56" s="5">
        <v>127760</v>
      </c>
      <c r="K56" s="38">
        <f t="shared" si="0"/>
        <v>3442</v>
      </c>
      <c r="L56" s="39">
        <v>0</v>
      </c>
      <c r="M56" s="39">
        <v>0</v>
      </c>
      <c r="N56" s="38">
        <v>3411</v>
      </c>
      <c r="O56" s="28">
        <f t="shared" si="5"/>
        <v>3411</v>
      </c>
      <c r="P56" s="28">
        <f t="shared" si="6"/>
        <v>-31</v>
      </c>
      <c r="Q56" s="39">
        <v>0</v>
      </c>
      <c r="R56" s="39">
        <v>0</v>
      </c>
      <c r="S56" s="38">
        <v>161093</v>
      </c>
      <c r="T56" s="31">
        <f t="shared" si="7"/>
        <v>161093</v>
      </c>
      <c r="U56" s="1">
        <v>31935.63</v>
      </c>
      <c r="V56" s="1">
        <v>6000</v>
      </c>
      <c r="W56" s="31">
        <f t="shared" si="13"/>
        <v>34574.326932161406</v>
      </c>
      <c r="X56" s="1">
        <v>0</v>
      </c>
      <c r="Y56" s="31">
        <f t="shared" si="8"/>
        <v>72509.956932161411</v>
      </c>
      <c r="Z56" s="32">
        <f t="shared" si="9"/>
        <v>88583.043067838589</v>
      </c>
      <c r="AA56" s="31">
        <f t="shared" si="10"/>
        <v>54.988759950983955</v>
      </c>
      <c r="AB56" s="43"/>
    </row>
    <row r="57" spans="1:28" x14ac:dyDescent="0.2">
      <c r="A57" s="25">
        <v>53</v>
      </c>
      <c r="B57" s="25" t="s">
        <v>123</v>
      </c>
      <c r="C57" s="25" t="s">
        <v>124</v>
      </c>
      <c r="D57" s="25">
        <v>2026</v>
      </c>
      <c r="E57" s="51" t="s">
        <v>67</v>
      </c>
      <c r="F57" s="102"/>
      <c r="G57" s="90" t="s">
        <v>128</v>
      </c>
      <c r="H57" s="105"/>
      <c r="I57" s="37">
        <v>71845</v>
      </c>
      <c r="J57" s="37">
        <v>73908</v>
      </c>
      <c r="K57" s="38">
        <f t="shared" si="0"/>
        <v>2063</v>
      </c>
      <c r="L57" s="39">
        <f>903+1143</f>
        <v>2046</v>
      </c>
      <c r="M57" s="39">
        <v>0</v>
      </c>
      <c r="N57" s="39">
        <v>0</v>
      </c>
      <c r="O57" s="28">
        <f t="shared" si="5"/>
        <v>2046</v>
      </c>
      <c r="P57" s="28">
        <f t="shared" si="6"/>
        <v>-17</v>
      </c>
      <c r="Q57" s="40">
        <f>41090+66667</f>
        <v>107757</v>
      </c>
      <c r="R57" s="39">
        <v>0</v>
      </c>
      <c r="S57" s="39">
        <v>0</v>
      </c>
      <c r="T57" s="31">
        <f t="shared" si="7"/>
        <v>107757</v>
      </c>
      <c r="U57" s="1">
        <v>10623.23</v>
      </c>
      <c r="V57" s="1">
        <v>1500</v>
      </c>
      <c r="W57" s="31">
        <f t="shared" si="13"/>
        <v>23127.173416777368</v>
      </c>
      <c r="X57" s="29">
        <v>69959</v>
      </c>
      <c r="Y57" s="31">
        <f t="shared" si="8"/>
        <v>105209.40341677736</v>
      </c>
      <c r="Z57" s="32">
        <f t="shared" si="9"/>
        <v>2547.5965832226357</v>
      </c>
      <c r="AA57" s="31">
        <f t="shared" si="10"/>
        <v>2.3642051868766165</v>
      </c>
      <c r="AB57" s="43"/>
    </row>
    <row r="58" spans="1:28" x14ac:dyDescent="0.2">
      <c r="A58" s="35">
        <v>54</v>
      </c>
      <c r="B58" s="25" t="s">
        <v>123</v>
      </c>
      <c r="C58" s="25" t="s">
        <v>124</v>
      </c>
      <c r="D58" s="25">
        <v>2026</v>
      </c>
      <c r="E58" s="41" t="s">
        <v>105</v>
      </c>
      <c r="F58" s="102"/>
      <c r="G58" s="86" t="s">
        <v>129</v>
      </c>
      <c r="H58" s="105"/>
      <c r="I58" s="37">
        <v>28421</v>
      </c>
      <c r="J58" s="37">
        <v>32905</v>
      </c>
      <c r="K58" s="38">
        <f t="shared" si="0"/>
        <v>4484</v>
      </c>
      <c r="L58" s="39">
        <v>4265</v>
      </c>
      <c r="M58" s="39">
        <v>0</v>
      </c>
      <c r="N58" s="39">
        <v>0</v>
      </c>
      <c r="O58" s="28">
        <f t="shared" si="5"/>
        <v>4265</v>
      </c>
      <c r="P58" s="28">
        <f t="shared" si="6"/>
        <v>-219</v>
      </c>
      <c r="Q58" s="40">
        <v>209930</v>
      </c>
      <c r="R58" s="39">
        <v>0</v>
      </c>
      <c r="S58" s="39">
        <v>0</v>
      </c>
      <c r="T58" s="31">
        <f t="shared" si="7"/>
        <v>209930</v>
      </c>
      <c r="U58" s="1">
        <v>40616.39</v>
      </c>
      <c r="V58" s="1">
        <v>10142.4</v>
      </c>
      <c r="W58" s="31">
        <f t="shared" si="13"/>
        <v>45055.889783346538</v>
      </c>
      <c r="X58" s="29">
        <v>50485</v>
      </c>
      <c r="Y58" s="31">
        <f t="shared" si="8"/>
        <v>146299.67978334654</v>
      </c>
      <c r="Z58" s="32">
        <f t="shared" si="9"/>
        <v>63630.320216653461</v>
      </c>
      <c r="AA58" s="31">
        <f t="shared" si="10"/>
        <v>30.310255902754946</v>
      </c>
      <c r="AB58" s="43"/>
    </row>
    <row r="59" spans="1:28" x14ac:dyDescent="0.2">
      <c r="A59" s="25">
        <v>55</v>
      </c>
      <c r="B59" s="25" t="s">
        <v>123</v>
      </c>
      <c r="C59" s="25" t="s">
        <v>124</v>
      </c>
      <c r="D59" s="25">
        <v>2026</v>
      </c>
      <c r="E59" s="41" t="s">
        <v>106</v>
      </c>
      <c r="F59" s="102"/>
      <c r="G59" s="86" t="s">
        <v>129</v>
      </c>
      <c r="H59" s="105"/>
      <c r="I59" s="5">
        <v>35681</v>
      </c>
      <c r="J59" s="5">
        <v>36306</v>
      </c>
      <c r="K59" s="38">
        <f t="shared" si="0"/>
        <v>625</v>
      </c>
      <c r="L59" s="39">
        <v>0</v>
      </c>
      <c r="M59" s="39">
        <v>0</v>
      </c>
      <c r="N59" s="39">
        <v>625</v>
      </c>
      <c r="O59" s="28">
        <f t="shared" si="5"/>
        <v>625</v>
      </c>
      <c r="P59" s="28">
        <f t="shared" si="6"/>
        <v>0</v>
      </c>
      <c r="Q59" s="39">
        <v>0</v>
      </c>
      <c r="R59" s="39">
        <v>0</v>
      </c>
      <c r="S59" s="38">
        <v>148250</v>
      </c>
      <c r="T59" s="31">
        <f t="shared" si="7"/>
        <v>148250</v>
      </c>
      <c r="U59" s="1">
        <v>4523.22</v>
      </c>
      <c r="V59" s="1">
        <v>0</v>
      </c>
      <c r="W59" s="31">
        <f t="shared" si="13"/>
        <v>31817.918641362001</v>
      </c>
      <c r="X59" s="29">
        <v>50485</v>
      </c>
      <c r="Y59" s="31">
        <f t="shared" si="8"/>
        <v>86826.138641361991</v>
      </c>
      <c r="Z59" s="32">
        <f t="shared" si="9"/>
        <v>61423.861358638009</v>
      </c>
      <c r="AA59" s="31">
        <f t="shared" si="10"/>
        <v>41.432621489806415</v>
      </c>
      <c r="AB59" s="43"/>
    </row>
    <row r="60" spans="1:28" x14ac:dyDescent="0.2">
      <c r="A60" s="35">
        <v>56</v>
      </c>
      <c r="B60" s="25" t="s">
        <v>123</v>
      </c>
      <c r="C60" s="25" t="s">
        <v>124</v>
      </c>
      <c r="D60" s="25">
        <v>2026</v>
      </c>
      <c r="E60" s="52" t="s">
        <v>114</v>
      </c>
      <c r="F60" s="102"/>
      <c r="G60" s="53" t="s">
        <v>165</v>
      </c>
      <c r="H60" s="105"/>
      <c r="I60" s="37">
        <v>8758</v>
      </c>
      <c r="J60" s="37">
        <v>11802</v>
      </c>
      <c r="K60" s="38">
        <f t="shared" si="0"/>
        <v>3044</v>
      </c>
      <c r="L60" s="39">
        <v>2986</v>
      </c>
      <c r="M60" s="39">
        <v>0</v>
      </c>
      <c r="N60" s="39">
        <v>0</v>
      </c>
      <c r="O60" s="28">
        <f t="shared" si="5"/>
        <v>2986</v>
      </c>
      <c r="P60" s="28">
        <f t="shared" si="6"/>
        <v>-58</v>
      </c>
      <c r="Q60" s="40">
        <v>138418</v>
      </c>
      <c r="R60" s="39">
        <v>0</v>
      </c>
      <c r="S60" s="39">
        <v>0</v>
      </c>
      <c r="T60" s="31">
        <f t="shared" si="7"/>
        <v>138418</v>
      </c>
      <c r="U60" s="1">
        <v>35130.660000000003</v>
      </c>
      <c r="V60" s="1">
        <v>5720.82</v>
      </c>
      <c r="W60" s="31">
        <f t="shared" si="13"/>
        <v>29707.741399663038</v>
      </c>
      <c r="X60" s="29">
        <v>54060</v>
      </c>
      <c r="Y60" s="31">
        <f t="shared" si="8"/>
        <v>124619.22139966305</v>
      </c>
      <c r="Z60" s="32">
        <f t="shared" si="9"/>
        <v>13798.778600336955</v>
      </c>
      <c r="AA60" s="31">
        <f t="shared" si="10"/>
        <v>9.9689192159523721</v>
      </c>
      <c r="AB60" s="43"/>
    </row>
    <row r="61" spans="1:28" x14ac:dyDescent="0.2">
      <c r="A61" s="25">
        <v>57</v>
      </c>
      <c r="B61" s="25" t="s">
        <v>123</v>
      </c>
      <c r="C61" s="25" t="s">
        <v>124</v>
      </c>
      <c r="D61" s="25">
        <v>2026</v>
      </c>
      <c r="E61" s="41" t="s">
        <v>107</v>
      </c>
      <c r="F61" s="102"/>
      <c r="G61" s="86" t="s">
        <v>130</v>
      </c>
      <c r="H61" s="105"/>
      <c r="I61" s="5">
        <v>24137</v>
      </c>
      <c r="J61" s="5">
        <v>26507</v>
      </c>
      <c r="K61" s="38">
        <f t="shared" si="0"/>
        <v>2370</v>
      </c>
      <c r="L61" s="39">
        <v>0</v>
      </c>
      <c r="M61" s="39">
        <v>0</v>
      </c>
      <c r="N61" s="38">
        <v>2370</v>
      </c>
      <c r="O61" s="28">
        <f t="shared" si="5"/>
        <v>2370</v>
      </c>
      <c r="P61" s="28">
        <f t="shared" si="6"/>
        <v>0</v>
      </c>
      <c r="Q61" s="39">
        <v>0</v>
      </c>
      <c r="R61" s="39">
        <v>0</v>
      </c>
      <c r="S61" s="40">
        <v>142700</v>
      </c>
      <c r="T61" s="31">
        <f t="shared" si="7"/>
        <v>142700</v>
      </c>
      <c r="U61" s="1">
        <v>16806.43</v>
      </c>
      <c r="V61" s="1">
        <v>0</v>
      </c>
      <c r="W61" s="31">
        <f t="shared" si="13"/>
        <v>30626.758786660084</v>
      </c>
      <c r="X61" s="29">
        <v>50485</v>
      </c>
      <c r="Y61" s="31">
        <f>SUM(U61:X61)</f>
        <v>97918.188786660088</v>
      </c>
      <c r="Z61" s="32">
        <f t="shared" si="9"/>
        <v>44781.811213339912</v>
      </c>
      <c r="AA61" s="31">
        <f t="shared" si="10"/>
        <v>31.381787815935468</v>
      </c>
      <c r="AB61" s="43"/>
    </row>
    <row r="62" spans="1:28" x14ac:dyDescent="0.2">
      <c r="A62" s="35">
        <v>58</v>
      </c>
      <c r="B62" s="25" t="s">
        <v>123</v>
      </c>
      <c r="C62" s="25" t="s">
        <v>124</v>
      </c>
      <c r="D62" s="25">
        <v>2026</v>
      </c>
      <c r="E62" s="52" t="s">
        <v>115</v>
      </c>
      <c r="F62" s="102"/>
      <c r="G62" s="53" t="s">
        <v>166</v>
      </c>
      <c r="H62" s="105"/>
      <c r="I62" s="37">
        <v>875</v>
      </c>
      <c r="J62" s="37">
        <v>2828</v>
      </c>
      <c r="K62" s="38">
        <f t="shared" si="0"/>
        <v>1953</v>
      </c>
      <c r="L62" s="39">
        <v>1993</v>
      </c>
      <c r="M62" s="39">
        <v>0</v>
      </c>
      <c r="N62" s="39">
        <v>0</v>
      </c>
      <c r="O62" s="28">
        <f t="shared" si="5"/>
        <v>1993</v>
      </c>
      <c r="P62" s="28">
        <f t="shared" si="6"/>
        <v>40</v>
      </c>
      <c r="Q62" s="39">
        <v>162426</v>
      </c>
      <c r="R62" s="39">
        <v>0</v>
      </c>
      <c r="S62" s="39">
        <v>0</v>
      </c>
      <c r="T62" s="31">
        <f t="shared" si="7"/>
        <v>162426</v>
      </c>
      <c r="U62" s="1">
        <v>20622.37</v>
      </c>
      <c r="V62" s="1">
        <v>2786.24</v>
      </c>
      <c r="W62" s="31">
        <f t="shared" si="13"/>
        <v>34860.419920687113</v>
      </c>
      <c r="X62" s="29">
        <v>57240</v>
      </c>
      <c r="Y62" s="31">
        <f t="shared" si="8"/>
        <v>115509.02992068711</v>
      </c>
      <c r="Z62" s="32">
        <f t="shared" si="9"/>
        <v>46916.970079312887</v>
      </c>
      <c r="AA62" s="31">
        <f t="shared" si="10"/>
        <v>28.885135433559213</v>
      </c>
      <c r="AB62" s="43"/>
    </row>
    <row r="63" spans="1:28" x14ac:dyDescent="0.2">
      <c r="A63" s="25">
        <v>59</v>
      </c>
      <c r="B63" s="25" t="s">
        <v>123</v>
      </c>
      <c r="C63" s="25" t="s">
        <v>124</v>
      </c>
      <c r="D63" s="25">
        <v>2026</v>
      </c>
      <c r="E63" s="52" t="s">
        <v>116</v>
      </c>
      <c r="F63" s="103"/>
      <c r="G63" s="53" t="s">
        <v>166</v>
      </c>
      <c r="H63" s="106"/>
      <c r="I63" s="37">
        <v>1119</v>
      </c>
      <c r="J63" s="37">
        <v>5408</v>
      </c>
      <c r="K63" s="38">
        <f t="shared" si="0"/>
        <v>4289</v>
      </c>
      <c r="L63" s="39">
        <v>4316</v>
      </c>
      <c r="M63" s="39">
        <v>0</v>
      </c>
      <c r="N63" s="39">
        <v>0</v>
      </c>
      <c r="O63" s="28">
        <f t="shared" si="5"/>
        <v>4316</v>
      </c>
      <c r="P63" s="28">
        <f t="shared" si="6"/>
        <v>27</v>
      </c>
      <c r="Q63" s="39">
        <v>200135</v>
      </c>
      <c r="R63" s="39">
        <v>0</v>
      </c>
      <c r="S63" s="39">
        <v>0</v>
      </c>
      <c r="T63" s="31">
        <f t="shared" si="7"/>
        <v>200135</v>
      </c>
      <c r="U63" s="1">
        <v>38026.449999999997</v>
      </c>
      <c r="V63" s="1">
        <v>0</v>
      </c>
      <c r="W63" s="31">
        <f t="shared" si="13"/>
        <v>42953.653607345594</v>
      </c>
      <c r="X63" s="29">
        <v>57240</v>
      </c>
      <c r="Y63" s="31">
        <f t="shared" si="8"/>
        <v>138220.10360734561</v>
      </c>
      <c r="Z63" s="32">
        <f t="shared" si="9"/>
        <v>61914.896392654395</v>
      </c>
      <c r="AA63" s="31">
        <f t="shared" si="10"/>
        <v>30.936566014267569</v>
      </c>
      <c r="AB63" s="43"/>
    </row>
    <row r="64" spans="1:28" s="56" customFormat="1" ht="13.5" customHeight="1" x14ac:dyDescent="0.2">
      <c r="A64" s="35">
        <v>60</v>
      </c>
      <c r="B64" s="25" t="s">
        <v>123</v>
      </c>
      <c r="C64" s="25" t="s">
        <v>124</v>
      </c>
      <c r="D64" s="25">
        <v>2026</v>
      </c>
      <c r="E64" s="41" t="s">
        <v>102</v>
      </c>
      <c r="F64" s="35" t="s">
        <v>71</v>
      </c>
      <c r="G64" s="86" t="s">
        <v>156</v>
      </c>
      <c r="H64" s="54">
        <v>1</v>
      </c>
      <c r="I64" s="37">
        <v>9648</v>
      </c>
      <c r="J64" s="37">
        <v>10971</v>
      </c>
      <c r="K64" s="38">
        <f t="shared" si="0"/>
        <v>1323</v>
      </c>
      <c r="L64" s="39">
        <v>1251</v>
      </c>
      <c r="M64" s="39">
        <v>0</v>
      </c>
      <c r="N64" s="39">
        <v>0</v>
      </c>
      <c r="O64" s="28">
        <f t="shared" si="5"/>
        <v>1251</v>
      </c>
      <c r="P64" s="28">
        <f t="shared" si="6"/>
        <v>-72</v>
      </c>
      <c r="Q64" s="40">
        <v>286230</v>
      </c>
      <c r="R64" s="39">
        <v>0</v>
      </c>
      <c r="S64" s="39">
        <v>0</v>
      </c>
      <c r="T64" s="31">
        <f t="shared" si="7"/>
        <v>286230</v>
      </c>
      <c r="U64" s="1">
        <v>14624.47</v>
      </c>
      <c r="V64" s="1">
        <v>0</v>
      </c>
      <c r="W64" s="31">
        <f t="shared" si="13"/>
        <v>61431.654993032345</v>
      </c>
      <c r="X64" s="29">
        <v>123711</v>
      </c>
      <c r="Y64" s="31">
        <f t="shared" si="8"/>
        <v>199767.12499303234</v>
      </c>
      <c r="Z64" s="32">
        <f t="shared" si="9"/>
        <v>86462.875006967661</v>
      </c>
      <c r="AA64" s="31">
        <f t="shared" si="10"/>
        <v>30.207481747883747</v>
      </c>
      <c r="AB64" s="55"/>
    </row>
    <row r="65" spans="1:28" s="12" customFormat="1" x14ac:dyDescent="0.2">
      <c r="A65" s="25">
        <v>61</v>
      </c>
      <c r="B65" s="25" t="s">
        <v>123</v>
      </c>
      <c r="C65" s="25" t="s">
        <v>124</v>
      </c>
      <c r="D65" s="25">
        <v>2026</v>
      </c>
      <c r="E65" s="36" t="s">
        <v>94</v>
      </c>
      <c r="F65" s="107" t="s">
        <v>97</v>
      </c>
      <c r="G65" s="89" t="s">
        <v>159</v>
      </c>
      <c r="H65" s="108">
        <v>4</v>
      </c>
      <c r="I65" s="7">
        <v>79659</v>
      </c>
      <c r="J65" s="7">
        <v>85597</v>
      </c>
      <c r="K65" s="38">
        <f>J65-I65</f>
        <v>5938</v>
      </c>
      <c r="L65" s="39">
        <v>0</v>
      </c>
      <c r="M65" s="39">
        <v>0</v>
      </c>
      <c r="N65" s="38">
        <v>5938</v>
      </c>
      <c r="O65" s="28">
        <f>SUM(L65:N65)</f>
        <v>5938</v>
      </c>
      <c r="P65" s="28">
        <f t="shared" si="6"/>
        <v>0</v>
      </c>
      <c r="Q65" s="39">
        <v>0</v>
      </c>
      <c r="R65" s="39">
        <v>0</v>
      </c>
      <c r="S65" s="91">
        <v>278530</v>
      </c>
      <c r="T65" s="31">
        <f t="shared" si="7"/>
        <v>278530</v>
      </c>
      <c r="U65" s="1">
        <v>75925.600000000006</v>
      </c>
      <c r="V65" s="1">
        <v>26549.97</v>
      </c>
      <c r="W65" s="31">
        <f t="shared" si="13"/>
        <v>59779.054834256713</v>
      </c>
      <c r="X65" s="29">
        <v>67760</v>
      </c>
      <c r="Y65" s="31">
        <f t="shared" si="8"/>
        <v>230014.62483425671</v>
      </c>
      <c r="Z65" s="32">
        <f t="shared" si="9"/>
        <v>48515.375165743288</v>
      </c>
      <c r="AA65" s="31">
        <f t="shared" si="10"/>
        <v>17.418366124203239</v>
      </c>
    </row>
    <row r="66" spans="1:28" s="12" customFormat="1" x14ac:dyDescent="0.2">
      <c r="A66" s="35">
        <v>62</v>
      </c>
      <c r="B66" s="25" t="s">
        <v>123</v>
      </c>
      <c r="C66" s="25" t="s">
        <v>124</v>
      </c>
      <c r="D66" s="25">
        <v>2026</v>
      </c>
      <c r="E66" s="36" t="s">
        <v>95</v>
      </c>
      <c r="F66" s="107"/>
      <c r="G66" s="89" t="s">
        <v>159</v>
      </c>
      <c r="H66" s="108"/>
      <c r="I66" s="7">
        <v>72312</v>
      </c>
      <c r="J66" s="7">
        <v>75831</v>
      </c>
      <c r="K66" s="38">
        <f t="shared" ref="K66:K67" si="20">J66-I66</f>
        <v>3519</v>
      </c>
      <c r="L66" s="39">
        <v>0</v>
      </c>
      <c r="M66" s="39">
        <v>0</v>
      </c>
      <c r="N66" s="38">
        <v>3519</v>
      </c>
      <c r="O66" s="28">
        <f t="shared" si="5"/>
        <v>3519</v>
      </c>
      <c r="P66" s="28">
        <f t="shared" si="6"/>
        <v>0</v>
      </c>
      <c r="Q66" s="39">
        <v>0</v>
      </c>
      <c r="R66" s="39">
        <v>0</v>
      </c>
      <c r="S66" s="91">
        <v>210700</v>
      </c>
      <c r="T66" s="31">
        <f t="shared" si="7"/>
        <v>210700</v>
      </c>
      <c r="U66" s="1">
        <v>47333.53</v>
      </c>
      <c r="V66" s="1">
        <v>26549.99</v>
      </c>
      <c r="W66" s="31">
        <f t="shared" si="13"/>
        <v>45221.149799224106</v>
      </c>
      <c r="X66" s="29">
        <v>67760</v>
      </c>
      <c r="Y66" s="31">
        <f t="shared" si="8"/>
        <v>186864.66979922412</v>
      </c>
      <c r="Z66" s="32">
        <f t="shared" si="9"/>
        <v>23835.330200775876</v>
      </c>
      <c r="AA66" s="31">
        <f t="shared" si="10"/>
        <v>11.312449074881764</v>
      </c>
    </row>
    <row r="67" spans="1:28" s="12" customFormat="1" x14ac:dyDescent="0.2">
      <c r="A67" s="25">
        <v>63</v>
      </c>
      <c r="B67" s="25" t="s">
        <v>123</v>
      </c>
      <c r="C67" s="25" t="s">
        <v>124</v>
      </c>
      <c r="D67" s="25">
        <v>2026</v>
      </c>
      <c r="E67" s="36" t="s">
        <v>96</v>
      </c>
      <c r="F67" s="107"/>
      <c r="G67" s="89" t="s">
        <v>159</v>
      </c>
      <c r="H67" s="108"/>
      <c r="I67" s="7">
        <v>58288</v>
      </c>
      <c r="J67" s="7">
        <v>61936</v>
      </c>
      <c r="K67" s="38">
        <f t="shared" si="20"/>
        <v>3648</v>
      </c>
      <c r="L67" s="39">
        <v>0</v>
      </c>
      <c r="M67" s="39">
        <v>0</v>
      </c>
      <c r="N67" s="38">
        <v>3648</v>
      </c>
      <c r="O67" s="28">
        <f t="shared" ref="O67" si="21">SUM(L67:N67)</f>
        <v>3648</v>
      </c>
      <c r="P67" s="28">
        <f t="shared" ref="P67:P70" si="22">O67-K67</f>
        <v>0</v>
      </c>
      <c r="Q67" s="39">
        <v>0</v>
      </c>
      <c r="R67" s="39">
        <v>0</v>
      </c>
      <c r="S67" s="91">
        <v>210700</v>
      </c>
      <c r="T67" s="31">
        <f t="shared" ref="T67:T70" si="23">SUM(Q67:S67)</f>
        <v>210700</v>
      </c>
      <c r="U67" s="1">
        <v>54671.39</v>
      </c>
      <c r="V67" s="1">
        <v>24750.01</v>
      </c>
      <c r="W67" s="31">
        <f t="shared" ref="W67:W70" si="24">SUM(W$71/(Q$71+S$71)*(Q67+S67))</f>
        <v>45221.149799224106</v>
      </c>
      <c r="X67" s="29">
        <v>67760</v>
      </c>
      <c r="Y67" s="31">
        <f t="shared" ref="Y67:Y70" si="25">SUM(U67:X67)</f>
        <v>192402.5497992241</v>
      </c>
      <c r="Z67" s="32">
        <f t="shared" ref="Z67:Z70" si="26">SUM(T67-Y67)</f>
        <v>18297.4502007759</v>
      </c>
      <c r="AA67" s="31">
        <f t="shared" ref="AA67:AA70" si="27">SUM(Z67/T67%)</f>
        <v>8.6841244427033217</v>
      </c>
    </row>
    <row r="68" spans="1:28" s="12" customFormat="1" x14ac:dyDescent="0.2">
      <c r="A68" s="35">
        <v>64</v>
      </c>
      <c r="B68" s="25" t="s">
        <v>123</v>
      </c>
      <c r="C68" s="25" t="s">
        <v>124</v>
      </c>
      <c r="D68" s="25">
        <v>2026</v>
      </c>
      <c r="E68" s="36" t="s">
        <v>98</v>
      </c>
      <c r="F68" s="107"/>
      <c r="G68" s="86" t="s">
        <v>160</v>
      </c>
      <c r="H68" s="108"/>
      <c r="I68" s="37">
        <v>17436</v>
      </c>
      <c r="J68" s="37">
        <v>19273</v>
      </c>
      <c r="K68" s="38">
        <f>J68-I68</f>
        <v>1837</v>
      </c>
      <c r="L68" s="39">
        <v>1789</v>
      </c>
      <c r="M68" s="39">
        <v>0</v>
      </c>
      <c r="N68" s="39">
        <v>0</v>
      </c>
      <c r="O68" s="28">
        <f t="shared" ref="O68:O70" si="28">SUM(L68:N68)</f>
        <v>1789</v>
      </c>
      <c r="P68" s="28">
        <f t="shared" si="22"/>
        <v>-48</v>
      </c>
      <c r="Q68" s="40">
        <v>97245</v>
      </c>
      <c r="R68" s="39">
        <v>0</v>
      </c>
      <c r="S68" s="39">
        <v>0</v>
      </c>
      <c r="T68" s="31">
        <f t="shared" si="23"/>
        <v>97245</v>
      </c>
      <c r="U68" s="1">
        <v>27166.46</v>
      </c>
      <c r="V68" s="1">
        <v>0</v>
      </c>
      <c r="W68" s="31">
        <f t="shared" si="24"/>
        <v>20871.052264952767</v>
      </c>
      <c r="X68" s="29">
        <v>62394</v>
      </c>
      <c r="Y68" s="31">
        <f t="shared" si="25"/>
        <v>110431.51226495276</v>
      </c>
      <c r="Z68" s="93">
        <f t="shared" si="26"/>
        <v>-13186.512264952762</v>
      </c>
      <c r="AA68" s="94">
        <f t="shared" si="27"/>
        <v>-13.560092822204496</v>
      </c>
    </row>
    <row r="69" spans="1:28" s="12" customFormat="1" x14ac:dyDescent="0.2">
      <c r="A69" s="25">
        <v>65</v>
      </c>
      <c r="B69" s="25" t="s">
        <v>123</v>
      </c>
      <c r="C69" s="25" t="s">
        <v>124</v>
      </c>
      <c r="D69" s="25">
        <v>2026</v>
      </c>
      <c r="E69" s="36" t="s">
        <v>91</v>
      </c>
      <c r="F69" s="107" t="s">
        <v>93</v>
      </c>
      <c r="G69" s="89" t="s">
        <v>158</v>
      </c>
      <c r="H69" s="108">
        <v>2</v>
      </c>
      <c r="I69" s="5">
        <v>20073</v>
      </c>
      <c r="J69" s="5">
        <v>21318</v>
      </c>
      <c r="K69" s="38">
        <f>J69-I69</f>
        <v>1245</v>
      </c>
      <c r="L69" s="37">
        <v>0</v>
      </c>
      <c r="M69" s="39">
        <v>0</v>
      </c>
      <c r="N69" s="38">
        <v>739</v>
      </c>
      <c r="O69" s="28">
        <f t="shared" si="28"/>
        <v>739</v>
      </c>
      <c r="P69" s="28">
        <f t="shared" si="22"/>
        <v>-506</v>
      </c>
      <c r="Q69" s="39">
        <v>0</v>
      </c>
      <c r="R69" s="39">
        <v>0</v>
      </c>
      <c r="S69" s="38">
        <v>97675</v>
      </c>
      <c r="T69" s="31">
        <f t="shared" si="23"/>
        <v>97675</v>
      </c>
      <c r="U69" s="1">
        <v>0</v>
      </c>
      <c r="V69" s="1">
        <v>0</v>
      </c>
      <c r="W69" s="31">
        <f t="shared" si="24"/>
        <v>20963.340325767509</v>
      </c>
      <c r="X69" s="29">
        <v>36895</v>
      </c>
      <c r="Y69" s="31">
        <f t="shared" si="25"/>
        <v>57858.340325767509</v>
      </c>
      <c r="Z69" s="32">
        <f t="shared" si="26"/>
        <v>39816.659674232491</v>
      </c>
      <c r="AA69" s="31">
        <f t="shared" si="27"/>
        <v>40.764432735328889</v>
      </c>
    </row>
    <row r="70" spans="1:28" s="12" customFormat="1" x14ac:dyDescent="0.2">
      <c r="A70" s="35">
        <v>66</v>
      </c>
      <c r="B70" s="25" t="s">
        <v>123</v>
      </c>
      <c r="C70" s="25" t="s">
        <v>124</v>
      </c>
      <c r="D70" s="25">
        <v>2026</v>
      </c>
      <c r="E70" s="36" t="s">
        <v>92</v>
      </c>
      <c r="F70" s="107"/>
      <c r="G70" s="89" t="s">
        <v>158</v>
      </c>
      <c r="H70" s="108"/>
      <c r="I70" s="5">
        <v>41106</v>
      </c>
      <c r="J70" s="5">
        <v>43363</v>
      </c>
      <c r="K70" s="38">
        <f>J70-I70</f>
        <v>2257</v>
      </c>
      <c r="L70" s="39">
        <v>0</v>
      </c>
      <c r="M70" s="39">
        <v>0</v>
      </c>
      <c r="N70" s="38">
        <v>1921</v>
      </c>
      <c r="O70" s="28">
        <f t="shared" si="28"/>
        <v>1921</v>
      </c>
      <c r="P70" s="28">
        <f t="shared" si="22"/>
        <v>-336</v>
      </c>
      <c r="Q70" s="39">
        <v>0</v>
      </c>
      <c r="R70" s="39">
        <v>0</v>
      </c>
      <c r="S70" s="38">
        <v>104652</v>
      </c>
      <c r="T70" s="31">
        <f t="shared" si="23"/>
        <v>104652</v>
      </c>
      <c r="U70" s="1">
        <v>0</v>
      </c>
      <c r="V70" s="1">
        <v>13100</v>
      </c>
      <c r="W70" s="31">
        <f t="shared" si="24"/>
        <v>22460.767768336027</v>
      </c>
      <c r="X70" s="29">
        <v>36895</v>
      </c>
      <c r="Y70" s="31">
        <f t="shared" si="25"/>
        <v>72455.767768336023</v>
      </c>
      <c r="Z70" s="32">
        <f t="shared" si="26"/>
        <v>32196.232231663977</v>
      </c>
      <c r="AA70" s="31">
        <f t="shared" si="27"/>
        <v>30.765042456583704</v>
      </c>
    </row>
    <row r="71" spans="1:28" x14ac:dyDescent="0.25">
      <c r="A71" s="35"/>
      <c r="B71" s="35"/>
      <c r="C71" s="35"/>
      <c r="D71" s="35"/>
      <c r="E71" s="48"/>
      <c r="F71" s="48"/>
      <c r="G71" s="48"/>
      <c r="H71" s="57">
        <v>66</v>
      </c>
      <c r="I71" s="57"/>
      <c r="J71" s="57"/>
      <c r="K71" s="57"/>
      <c r="L71" s="57"/>
      <c r="M71" s="57"/>
      <c r="N71" s="57"/>
      <c r="O71" s="28">
        <f t="shared" ref="O71" si="29">SUM(L71:N71)</f>
        <v>0</v>
      </c>
      <c r="P71" s="57">
        <f>SUM(P5:P70)</f>
        <v>-1214</v>
      </c>
      <c r="Q71" s="57">
        <f>SUM(Q5:Q70)</f>
        <v>6374934</v>
      </c>
      <c r="R71" s="57">
        <f>SUM(R5:R70)</f>
        <v>0</v>
      </c>
      <c r="S71" s="57">
        <f>SUM(S5:S70)</f>
        <v>2166679</v>
      </c>
      <c r="T71" s="57">
        <f>SUM(Q71:S71)</f>
        <v>8541613</v>
      </c>
      <c r="U71" s="57">
        <f>SUM(U5:U70)</f>
        <v>1601872.9199999992</v>
      </c>
      <c r="V71" s="58">
        <f>SUM(V5:V70)</f>
        <v>656841.75</v>
      </c>
      <c r="W71" s="57">
        <v>1833230</v>
      </c>
      <c r="X71" s="57">
        <f>SUM(X5:X70)</f>
        <v>1733513</v>
      </c>
      <c r="Y71" s="57">
        <f>SUM(Y5:Y70)</f>
        <v>5825457.6700000018</v>
      </c>
      <c r="Z71" s="57">
        <f>SUM(Z5:Z70)</f>
        <v>2716155.33</v>
      </c>
      <c r="AA71" s="57">
        <f>SUM(Z71/T71%)</f>
        <v>31.799091459657561</v>
      </c>
    </row>
    <row r="72" spans="1:28" x14ac:dyDescent="0.25">
      <c r="A72" s="48"/>
      <c r="B72" s="48"/>
      <c r="C72" s="48"/>
      <c r="D72" s="48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40"/>
      <c r="R72" s="36"/>
      <c r="S72" s="36"/>
      <c r="T72" s="36"/>
      <c r="U72" s="95">
        <f>SUM(U71/(Q71+S71)%)</f>
        <v>18.753752013817522</v>
      </c>
      <c r="V72" s="59">
        <f>SUM(V71/T71%)</f>
        <v>7.6899029492438951</v>
      </c>
      <c r="W72" s="59">
        <f>SUM(W71/T71%)</f>
        <v>21.462339724358852</v>
      </c>
      <c r="X72" s="59">
        <f>SUM(X71/T71%)</f>
        <v>20.294913852922157</v>
      </c>
      <c r="Y72" s="59"/>
      <c r="Z72" s="59"/>
      <c r="AA72" s="59">
        <f>SUM(Z71/T71%)</f>
        <v>31.799091459657561</v>
      </c>
    </row>
    <row r="73" spans="1:28" x14ac:dyDescent="0.25">
      <c r="A73" s="60"/>
      <c r="B73" s="60"/>
      <c r="C73" s="60"/>
      <c r="D73" s="60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61"/>
      <c r="Q73" s="62"/>
      <c r="R73" s="44"/>
      <c r="S73" s="44"/>
      <c r="T73" s="44"/>
      <c r="U73" s="63"/>
      <c r="V73" s="64"/>
      <c r="W73" s="64"/>
      <c r="X73" s="64"/>
      <c r="Y73" s="65"/>
      <c r="Z73" s="65"/>
      <c r="AA73" s="64"/>
    </row>
    <row r="74" spans="1:28" s="12" customFormat="1" ht="13.5" thickBot="1" x14ac:dyDescent="0.3">
      <c r="A74" s="10"/>
      <c r="B74" s="10"/>
      <c r="C74" s="10"/>
      <c r="D74" s="10"/>
      <c r="E74" s="6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/>
      <c r="R74" s="11"/>
      <c r="S74" s="11"/>
      <c r="T74" s="10"/>
      <c r="U74" s="10"/>
      <c r="V74" s="11"/>
      <c r="W74" s="43"/>
      <c r="X74" s="10"/>
      <c r="Y74" s="10"/>
      <c r="Z74" s="10"/>
      <c r="AA74" s="10"/>
    </row>
    <row r="75" spans="1:28" s="12" customFormat="1" ht="13.5" thickBot="1" x14ac:dyDescent="0.3">
      <c r="A75" s="10"/>
      <c r="B75" s="10"/>
      <c r="C75" s="10"/>
      <c r="D75" s="10"/>
      <c r="J75" s="13" t="s">
        <v>30</v>
      </c>
      <c r="K75" s="14"/>
      <c r="L75" s="14"/>
      <c r="M75" s="13" t="s">
        <v>117</v>
      </c>
      <c r="N75" s="14"/>
      <c r="O75" s="14"/>
      <c r="P75" s="17"/>
      <c r="S75" s="18"/>
      <c r="V75" s="67"/>
      <c r="W75" s="68"/>
      <c r="X75" s="69"/>
      <c r="Y75" s="67"/>
      <c r="Z75" s="67"/>
      <c r="AA75" s="70"/>
    </row>
    <row r="76" spans="1:28" s="12" customFormat="1" ht="13.5" thickBot="1" x14ac:dyDescent="0.3">
      <c r="A76" s="70"/>
      <c r="B76" s="70"/>
      <c r="C76" s="70"/>
      <c r="D76" s="70"/>
      <c r="S76" s="71"/>
      <c r="T76" s="67"/>
      <c r="U76" s="67"/>
      <c r="V76" s="67"/>
      <c r="X76" s="69"/>
      <c r="Y76" s="67"/>
      <c r="Z76" s="67"/>
      <c r="AA76" s="70"/>
    </row>
    <row r="77" spans="1:28" ht="26.25" thickBot="1" x14ac:dyDescent="0.3">
      <c r="A77" s="20" t="s">
        <v>1</v>
      </c>
      <c r="B77" s="21" t="s">
        <v>119</v>
      </c>
      <c r="C77" s="21" t="s">
        <v>120</v>
      </c>
      <c r="D77" s="21" t="s">
        <v>121</v>
      </c>
      <c r="E77" s="22" t="s">
        <v>2</v>
      </c>
      <c r="F77" s="23" t="s">
        <v>3</v>
      </c>
      <c r="G77" s="23" t="s">
        <v>122</v>
      </c>
      <c r="H77" s="23" t="s">
        <v>4</v>
      </c>
      <c r="I77" s="72" t="s">
        <v>5</v>
      </c>
      <c r="J77" s="73" t="s">
        <v>6</v>
      </c>
      <c r="K77" s="74" t="s">
        <v>7</v>
      </c>
      <c r="L77" s="24" t="s">
        <v>8</v>
      </c>
      <c r="M77" s="24" t="s">
        <v>31</v>
      </c>
      <c r="N77" s="24" t="s">
        <v>10</v>
      </c>
      <c r="O77" s="24" t="s">
        <v>32</v>
      </c>
      <c r="P77" s="24" t="s">
        <v>12</v>
      </c>
      <c r="Q77" s="22" t="s">
        <v>13</v>
      </c>
      <c r="R77" s="22" t="s">
        <v>14</v>
      </c>
      <c r="S77" s="22" t="s">
        <v>15</v>
      </c>
      <c r="T77" s="72" t="s">
        <v>16</v>
      </c>
      <c r="U77" s="75" t="s">
        <v>17</v>
      </c>
      <c r="V77" s="76" t="s">
        <v>18</v>
      </c>
      <c r="W77" s="74" t="s">
        <v>19</v>
      </c>
      <c r="X77" s="24" t="s">
        <v>20</v>
      </c>
      <c r="Y77" s="24" t="s">
        <v>21</v>
      </c>
      <c r="Z77" s="24" t="s">
        <v>22</v>
      </c>
      <c r="AA77" s="16" t="s">
        <v>23</v>
      </c>
      <c r="AB77" s="43"/>
    </row>
    <row r="78" spans="1:28" x14ac:dyDescent="0.2">
      <c r="A78" s="26">
        <v>1</v>
      </c>
      <c r="B78" s="25" t="s">
        <v>123</v>
      </c>
      <c r="C78" s="25" t="s">
        <v>124</v>
      </c>
      <c r="D78" s="25">
        <v>2026</v>
      </c>
      <c r="E78" s="26" t="s">
        <v>74</v>
      </c>
      <c r="F78" s="97" t="s">
        <v>24</v>
      </c>
      <c r="G78" s="86" t="s">
        <v>144</v>
      </c>
      <c r="H78" s="99">
        <v>8</v>
      </c>
      <c r="I78" s="4">
        <v>80470</v>
      </c>
      <c r="J78" s="4">
        <v>82145</v>
      </c>
      <c r="K78" s="28">
        <f>J78-I78</f>
        <v>1675</v>
      </c>
      <c r="L78" s="1">
        <v>0</v>
      </c>
      <c r="M78" s="1">
        <v>0</v>
      </c>
      <c r="N78" s="26">
        <v>1675</v>
      </c>
      <c r="O78" s="31">
        <f>N78+M78+L78</f>
        <v>1675</v>
      </c>
      <c r="P78" s="28">
        <f>O78-K78</f>
        <v>0</v>
      </c>
      <c r="Q78" s="28">
        <v>0</v>
      </c>
      <c r="R78" s="28">
        <v>0</v>
      </c>
      <c r="S78" s="31">
        <v>135000</v>
      </c>
      <c r="T78" s="31">
        <f>SUM(Q78:S78)</f>
        <v>135000</v>
      </c>
      <c r="U78" s="3">
        <v>15187.16</v>
      </c>
      <c r="V78" s="1">
        <v>0</v>
      </c>
      <c r="W78" s="31">
        <f>SUM(W$86/(Q$86+S$86)*(Q78+S78))</f>
        <v>51501.883709754926</v>
      </c>
      <c r="X78" s="1">
        <v>0</v>
      </c>
      <c r="Y78" s="31">
        <f>SUM(U78:X78)</f>
        <v>66689.043709754929</v>
      </c>
      <c r="Z78" s="32">
        <f>SUM(T78-Y78)</f>
        <v>68310.956290245071</v>
      </c>
      <c r="AA78" s="31">
        <f>SUM(Z78/T78%)</f>
        <v>50.600708363144498</v>
      </c>
      <c r="AB78" s="43"/>
    </row>
    <row r="79" spans="1:28" x14ac:dyDescent="0.2">
      <c r="A79" s="48">
        <v>2</v>
      </c>
      <c r="B79" s="25" t="s">
        <v>123</v>
      </c>
      <c r="C79" s="25" t="s">
        <v>124</v>
      </c>
      <c r="D79" s="25">
        <v>2026</v>
      </c>
      <c r="E79" s="36" t="s">
        <v>76</v>
      </c>
      <c r="F79" s="98"/>
      <c r="G79" s="86" t="s">
        <v>144</v>
      </c>
      <c r="H79" s="100"/>
      <c r="I79" s="5">
        <v>78473</v>
      </c>
      <c r="J79" s="5">
        <v>80373</v>
      </c>
      <c r="K79" s="38">
        <f t="shared" ref="K79:K85" si="30">J79-I79</f>
        <v>1900</v>
      </c>
      <c r="L79" s="1">
        <v>0</v>
      </c>
      <c r="M79" s="1">
        <v>0</v>
      </c>
      <c r="N79" s="36">
        <v>1900</v>
      </c>
      <c r="O79" s="31">
        <f t="shared" ref="O79:O85" si="31">N79+M79+L79</f>
        <v>1900</v>
      </c>
      <c r="P79" s="28">
        <f t="shared" ref="P79:P85" si="32">O79-K79</f>
        <v>0</v>
      </c>
      <c r="Q79" s="38">
        <v>0</v>
      </c>
      <c r="R79" s="38">
        <v>0</v>
      </c>
      <c r="S79" s="48">
        <v>130500</v>
      </c>
      <c r="T79" s="48">
        <f t="shared" ref="T79:T85" si="33">SUM(Q79:S79)</f>
        <v>130500</v>
      </c>
      <c r="U79" s="1">
        <v>21689.13</v>
      </c>
      <c r="V79" s="1">
        <v>15436.64</v>
      </c>
      <c r="W79" s="48">
        <f t="shared" ref="W79:W85" si="34">SUM(W$86/(Q$86+S$86)*(Q79+S79))</f>
        <v>49785.154252763095</v>
      </c>
      <c r="X79" s="1">
        <v>0</v>
      </c>
      <c r="Y79" s="48">
        <f t="shared" ref="Y79:Y85" si="35">SUM(U79:X79)</f>
        <v>86910.9242527631</v>
      </c>
      <c r="Z79" s="77">
        <f t="shared" ref="Z79:Z85" si="36">SUM(T79-Y79)</f>
        <v>43589.0757472369</v>
      </c>
      <c r="AA79" s="48">
        <f t="shared" ref="AA79:AA85" si="37">SUM(Z79/T79%)</f>
        <v>33.401590610909501</v>
      </c>
      <c r="AB79" s="43"/>
    </row>
    <row r="80" spans="1:28" x14ac:dyDescent="0.2">
      <c r="A80" s="36">
        <v>3</v>
      </c>
      <c r="B80" s="25" t="s">
        <v>123</v>
      </c>
      <c r="C80" s="25" t="s">
        <v>124</v>
      </c>
      <c r="D80" s="25">
        <v>2026</v>
      </c>
      <c r="E80" s="36" t="s">
        <v>70</v>
      </c>
      <c r="F80" s="98"/>
      <c r="G80" s="86" t="s">
        <v>161</v>
      </c>
      <c r="H80" s="100"/>
      <c r="I80" s="5">
        <v>95707</v>
      </c>
      <c r="J80" s="5">
        <v>97488</v>
      </c>
      <c r="K80" s="38">
        <f t="shared" si="30"/>
        <v>1781</v>
      </c>
      <c r="L80" s="1">
        <v>0</v>
      </c>
      <c r="M80" s="1">
        <v>0</v>
      </c>
      <c r="N80" s="36">
        <v>1764</v>
      </c>
      <c r="O80" s="31">
        <f t="shared" si="31"/>
        <v>1764</v>
      </c>
      <c r="P80" s="28">
        <f t="shared" si="32"/>
        <v>-17</v>
      </c>
      <c r="Q80" s="38">
        <v>0</v>
      </c>
      <c r="R80" s="38">
        <v>0</v>
      </c>
      <c r="S80" s="48">
        <v>126000</v>
      </c>
      <c r="T80" s="48">
        <f t="shared" si="33"/>
        <v>126000</v>
      </c>
      <c r="U80" s="1">
        <v>17318.16</v>
      </c>
      <c r="V80" s="1">
        <v>7400.28</v>
      </c>
      <c r="W80" s="48">
        <f t="shared" si="34"/>
        <v>48068.424795771265</v>
      </c>
      <c r="X80" s="1">
        <v>0</v>
      </c>
      <c r="Y80" s="48">
        <f t="shared" si="35"/>
        <v>72786.864795771267</v>
      </c>
      <c r="Z80" s="77">
        <f t="shared" si="36"/>
        <v>53213.135204228733</v>
      </c>
      <c r="AA80" s="48">
        <f t="shared" si="37"/>
        <v>42.232646987483122</v>
      </c>
      <c r="AB80" s="43"/>
    </row>
    <row r="81" spans="1:28" x14ac:dyDescent="0.2">
      <c r="A81" s="48">
        <v>4</v>
      </c>
      <c r="B81" s="25" t="s">
        <v>123</v>
      </c>
      <c r="C81" s="25" t="s">
        <v>124</v>
      </c>
      <c r="D81" s="25">
        <v>2026</v>
      </c>
      <c r="E81" s="36" t="s">
        <v>54</v>
      </c>
      <c r="F81" s="98"/>
      <c r="G81" s="86" t="s">
        <v>163</v>
      </c>
      <c r="H81" s="100"/>
      <c r="I81" s="5">
        <v>104253</v>
      </c>
      <c r="J81" s="5">
        <v>106101</v>
      </c>
      <c r="K81" s="38">
        <f t="shared" si="30"/>
        <v>1848</v>
      </c>
      <c r="L81" s="1">
        <v>0</v>
      </c>
      <c r="M81" s="1">
        <v>0</v>
      </c>
      <c r="N81" s="36">
        <v>1848</v>
      </c>
      <c r="O81" s="31">
        <f t="shared" si="31"/>
        <v>1848</v>
      </c>
      <c r="P81" s="28">
        <f t="shared" si="32"/>
        <v>0</v>
      </c>
      <c r="Q81" s="38">
        <v>0</v>
      </c>
      <c r="R81" s="38">
        <v>0</v>
      </c>
      <c r="S81" s="48">
        <v>135000</v>
      </c>
      <c r="T81" s="48">
        <f t="shared" si="33"/>
        <v>135000</v>
      </c>
      <c r="U81" s="1">
        <v>22050.15</v>
      </c>
      <c r="V81" s="1">
        <v>0</v>
      </c>
      <c r="W81" s="48">
        <f t="shared" si="34"/>
        <v>51501.883709754926</v>
      </c>
      <c r="X81" s="1">
        <v>0</v>
      </c>
      <c r="Y81" s="48">
        <f t="shared" si="35"/>
        <v>73552.033709754935</v>
      </c>
      <c r="Z81" s="77">
        <f t="shared" si="36"/>
        <v>61447.966290245065</v>
      </c>
      <c r="AA81" s="48">
        <f t="shared" si="37"/>
        <v>45.517012066848196</v>
      </c>
      <c r="AB81" s="43"/>
    </row>
    <row r="82" spans="1:28" x14ac:dyDescent="0.2">
      <c r="A82" s="36">
        <v>5</v>
      </c>
      <c r="B82" s="25" t="s">
        <v>123</v>
      </c>
      <c r="C82" s="25" t="s">
        <v>124</v>
      </c>
      <c r="D82" s="25">
        <v>2026</v>
      </c>
      <c r="E82" s="36" t="s">
        <v>57</v>
      </c>
      <c r="F82" s="98"/>
      <c r="G82" s="86" t="s">
        <v>164</v>
      </c>
      <c r="H82" s="100"/>
      <c r="I82" s="5">
        <v>97669</v>
      </c>
      <c r="J82" s="5">
        <v>99549</v>
      </c>
      <c r="K82" s="38">
        <f t="shared" si="30"/>
        <v>1880</v>
      </c>
      <c r="L82" s="1">
        <v>0</v>
      </c>
      <c r="M82" s="1">
        <v>0</v>
      </c>
      <c r="N82" s="36">
        <v>1879</v>
      </c>
      <c r="O82" s="31">
        <f t="shared" si="31"/>
        <v>1879</v>
      </c>
      <c r="P82" s="28">
        <f t="shared" si="32"/>
        <v>-1</v>
      </c>
      <c r="Q82" s="38">
        <v>0</v>
      </c>
      <c r="R82" s="38">
        <v>0</v>
      </c>
      <c r="S82" s="48">
        <v>135000</v>
      </c>
      <c r="T82" s="48">
        <f t="shared" si="33"/>
        <v>135000</v>
      </c>
      <c r="U82" s="1">
        <v>20612.37</v>
      </c>
      <c r="V82" s="1">
        <v>2850.76</v>
      </c>
      <c r="W82" s="48">
        <f t="shared" si="34"/>
        <v>51501.883709754926</v>
      </c>
      <c r="X82" s="1">
        <v>0</v>
      </c>
      <c r="Y82" s="48">
        <f t="shared" si="35"/>
        <v>74965.013709754916</v>
      </c>
      <c r="Z82" s="77">
        <f t="shared" si="36"/>
        <v>60034.986290245084</v>
      </c>
      <c r="AA82" s="48">
        <f t="shared" si="37"/>
        <v>44.470360214996361</v>
      </c>
      <c r="AB82" s="43"/>
    </row>
    <row r="83" spans="1:28" x14ac:dyDescent="0.2">
      <c r="A83" s="48">
        <v>6</v>
      </c>
      <c r="B83" s="25" t="s">
        <v>123</v>
      </c>
      <c r="C83" s="25" t="s">
        <v>124</v>
      </c>
      <c r="D83" s="25">
        <v>2026</v>
      </c>
      <c r="E83" s="36" t="s">
        <v>59</v>
      </c>
      <c r="F83" s="98"/>
      <c r="G83" s="86" t="s">
        <v>164</v>
      </c>
      <c r="H83" s="100"/>
      <c r="I83" s="5">
        <v>100171</v>
      </c>
      <c r="J83" s="5">
        <v>102071</v>
      </c>
      <c r="K83" s="38">
        <f t="shared" si="30"/>
        <v>1900</v>
      </c>
      <c r="L83" s="1">
        <v>0</v>
      </c>
      <c r="M83" s="1">
        <v>0</v>
      </c>
      <c r="N83" s="36">
        <v>1900</v>
      </c>
      <c r="O83" s="31">
        <f t="shared" si="31"/>
        <v>1900</v>
      </c>
      <c r="P83" s="28">
        <f t="shared" si="32"/>
        <v>0</v>
      </c>
      <c r="Q83" s="38">
        <v>0</v>
      </c>
      <c r="R83" s="38">
        <v>0</v>
      </c>
      <c r="S83" s="48">
        <v>135000</v>
      </c>
      <c r="T83" s="48">
        <f t="shared" si="33"/>
        <v>135000</v>
      </c>
      <c r="U83" s="1">
        <v>18793.75</v>
      </c>
      <c r="V83" s="1">
        <v>7399.78</v>
      </c>
      <c r="W83" s="48">
        <f t="shared" si="34"/>
        <v>51501.883709754926</v>
      </c>
      <c r="X83" s="1">
        <v>0</v>
      </c>
      <c r="Y83" s="48">
        <f t="shared" si="35"/>
        <v>77695.413709754925</v>
      </c>
      <c r="Z83" s="77">
        <f t="shared" si="36"/>
        <v>57304.586290245075</v>
      </c>
      <c r="AA83" s="48">
        <f t="shared" si="37"/>
        <v>42.44784169647783</v>
      </c>
      <c r="AB83" s="43"/>
    </row>
    <row r="84" spans="1:28" x14ac:dyDescent="0.2">
      <c r="A84" s="36">
        <v>7</v>
      </c>
      <c r="B84" s="25" t="s">
        <v>123</v>
      </c>
      <c r="C84" s="25" t="s">
        <v>124</v>
      </c>
      <c r="D84" s="25">
        <v>2026</v>
      </c>
      <c r="E84" s="40" t="s">
        <v>46</v>
      </c>
      <c r="F84" s="98"/>
      <c r="G84" s="86" t="s">
        <v>140</v>
      </c>
      <c r="H84" s="100"/>
      <c r="I84" s="5">
        <v>89845</v>
      </c>
      <c r="J84" s="5">
        <v>91468</v>
      </c>
      <c r="K84" s="38">
        <f t="shared" si="30"/>
        <v>1623</v>
      </c>
      <c r="L84" s="1">
        <v>0</v>
      </c>
      <c r="M84" s="1">
        <v>0</v>
      </c>
      <c r="N84" s="36">
        <v>1623</v>
      </c>
      <c r="O84" s="31">
        <f t="shared" si="31"/>
        <v>1623</v>
      </c>
      <c r="P84" s="28">
        <f t="shared" si="32"/>
        <v>0</v>
      </c>
      <c r="Q84" s="38">
        <v>0</v>
      </c>
      <c r="R84" s="38">
        <v>0</v>
      </c>
      <c r="S84" s="48">
        <v>122500</v>
      </c>
      <c r="T84" s="48">
        <f t="shared" si="33"/>
        <v>122500</v>
      </c>
      <c r="U84" s="1">
        <v>14989.08</v>
      </c>
      <c r="V84" s="1">
        <v>2400</v>
      </c>
      <c r="W84" s="48">
        <f t="shared" si="34"/>
        <v>46733.190773666509</v>
      </c>
      <c r="X84" s="1">
        <v>0</v>
      </c>
      <c r="Y84" s="48">
        <f t="shared" si="35"/>
        <v>64122.270773666511</v>
      </c>
      <c r="Z84" s="77">
        <f t="shared" si="36"/>
        <v>58377.729226333489</v>
      </c>
      <c r="AA84" s="48">
        <f t="shared" si="37"/>
        <v>47.655289164353867</v>
      </c>
      <c r="AB84" s="43"/>
    </row>
    <row r="85" spans="1:28" s="12" customFormat="1" x14ac:dyDescent="0.2">
      <c r="A85" s="48">
        <v>8</v>
      </c>
      <c r="B85" s="25" t="s">
        <v>123</v>
      </c>
      <c r="C85" s="25" t="s">
        <v>124</v>
      </c>
      <c r="D85" s="25">
        <v>2026</v>
      </c>
      <c r="E85" s="40" t="s">
        <v>44</v>
      </c>
      <c r="F85" s="98"/>
      <c r="G85" s="86" t="s">
        <v>162</v>
      </c>
      <c r="H85" s="100"/>
      <c r="I85" s="5">
        <v>104002</v>
      </c>
      <c r="J85" s="5">
        <v>105736</v>
      </c>
      <c r="K85" s="38">
        <f t="shared" si="30"/>
        <v>1734</v>
      </c>
      <c r="L85" s="1">
        <v>0</v>
      </c>
      <c r="M85" s="1">
        <v>0</v>
      </c>
      <c r="N85" s="36">
        <v>1717</v>
      </c>
      <c r="O85" s="31">
        <f t="shared" si="31"/>
        <v>1717</v>
      </c>
      <c r="P85" s="28">
        <f t="shared" si="32"/>
        <v>-17</v>
      </c>
      <c r="Q85" s="38">
        <v>0</v>
      </c>
      <c r="R85" s="38">
        <v>0</v>
      </c>
      <c r="S85" s="48">
        <v>121500</v>
      </c>
      <c r="T85" s="48">
        <f t="shared" si="33"/>
        <v>121500</v>
      </c>
      <c r="U85" s="1">
        <v>17728.72</v>
      </c>
      <c r="V85" s="1">
        <v>0</v>
      </c>
      <c r="W85" s="48">
        <f t="shared" si="34"/>
        <v>46351.695338779435</v>
      </c>
      <c r="X85" s="1">
        <v>0</v>
      </c>
      <c r="Y85" s="48">
        <f t="shared" si="35"/>
        <v>64080.415338779436</v>
      </c>
      <c r="Z85" s="77">
        <f t="shared" si="36"/>
        <v>57419.584661220564</v>
      </c>
      <c r="AA85" s="48">
        <f t="shared" si="37"/>
        <v>47.25891741664244</v>
      </c>
    </row>
    <row r="86" spans="1:28" x14ac:dyDescent="0.25">
      <c r="A86" s="48"/>
      <c r="B86" s="48"/>
      <c r="C86" s="48"/>
      <c r="D86" s="48"/>
      <c r="E86" s="57"/>
      <c r="F86" s="57"/>
      <c r="G86" s="57"/>
      <c r="H86" s="57">
        <f>SUM(H78:H80)</f>
        <v>8</v>
      </c>
      <c r="I86" s="57"/>
      <c r="J86" s="57"/>
      <c r="K86" s="57"/>
      <c r="L86" s="57">
        <f>SUM(L78:L85)</f>
        <v>0</v>
      </c>
      <c r="M86" s="57">
        <f ca="1">SUM(M78:M86)</f>
        <v>0</v>
      </c>
      <c r="N86" s="57">
        <f t="shared" ref="N86:V86" si="38">SUM(N78:N85)</f>
        <v>14306</v>
      </c>
      <c r="O86" s="57">
        <f t="shared" si="38"/>
        <v>14306</v>
      </c>
      <c r="P86" s="57">
        <f>SUM(P78:P85)</f>
        <v>-35</v>
      </c>
      <c r="Q86" s="57">
        <f t="shared" si="38"/>
        <v>0</v>
      </c>
      <c r="R86" s="57">
        <f t="shared" si="38"/>
        <v>0</v>
      </c>
      <c r="S86" s="57">
        <f>SUM(S78:S85)</f>
        <v>1040500</v>
      </c>
      <c r="T86" s="57">
        <f t="shared" si="38"/>
        <v>1040500</v>
      </c>
      <c r="U86" s="57">
        <f t="shared" si="38"/>
        <v>148368.52000000002</v>
      </c>
      <c r="V86" s="57">
        <f t="shared" si="38"/>
        <v>35487.46</v>
      </c>
      <c r="W86" s="57">
        <v>396946</v>
      </c>
      <c r="X86" s="57">
        <f>SUM(X78:X85)</f>
        <v>0</v>
      </c>
      <c r="Y86" s="57">
        <f>SUM(Y78:Y85)</f>
        <v>580801.98</v>
      </c>
      <c r="Z86" s="57">
        <f>SUM(Z78:Z85)</f>
        <v>459698.01999999996</v>
      </c>
      <c r="AA86" s="57">
        <f>SUM(Z86/T86%)</f>
        <v>44.180492071119652</v>
      </c>
      <c r="AB86" s="11"/>
    </row>
    <row r="87" spans="1:28" x14ac:dyDescent="0.25">
      <c r="A87" s="57"/>
      <c r="B87" s="78"/>
      <c r="C87" s="78"/>
      <c r="D87" s="78"/>
      <c r="Q87" s="11"/>
      <c r="U87" s="79">
        <f>SUM(U86/T86%)</f>
        <v>14.259348390197022</v>
      </c>
      <c r="V87" s="79">
        <f>SUM(V86/T86%)</f>
        <v>3.4106160499759728</v>
      </c>
      <c r="W87" s="79">
        <f>SUM(W86/T86%)</f>
        <v>38.149543488707351</v>
      </c>
      <c r="X87" s="80">
        <f>SUM(X86/T86%)</f>
        <v>0</v>
      </c>
      <c r="Y87" s="12"/>
    </row>
    <row r="88" spans="1:28" s="12" customForma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1"/>
      <c r="L88" s="10"/>
      <c r="M88" s="10"/>
      <c r="N88" s="10"/>
      <c r="O88" s="10"/>
      <c r="P88" s="10"/>
      <c r="R88" s="10"/>
      <c r="S88" s="10"/>
      <c r="T88" s="81" t="s">
        <v>35</v>
      </c>
      <c r="U88" s="81" t="s">
        <v>36</v>
      </c>
      <c r="V88" s="81" t="s">
        <v>37</v>
      </c>
      <c r="W88" s="81" t="s">
        <v>19</v>
      </c>
      <c r="X88" s="82" t="s">
        <v>20</v>
      </c>
      <c r="Y88" s="82" t="s">
        <v>38</v>
      </c>
      <c r="Z88" s="82" t="s">
        <v>22</v>
      </c>
      <c r="AA88" s="10"/>
    </row>
    <row r="89" spans="1:28" x14ac:dyDescent="0.25">
      <c r="E89" s="12"/>
      <c r="F89" s="12"/>
      <c r="G89" s="12"/>
      <c r="H89" s="12"/>
      <c r="I89" s="12"/>
      <c r="J89" s="12"/>
      <c r="K89" s="18"/>
      <c r="L89" s="12"/>
      <c r="M89" s="34"/>
      <c r="N89" s="34"/>
      <c r="O89" s="12"/>
      <c r="P89" s="12"/>
      <c r="R89" s="12"/>
      <c r="S89" s="12"/>
      <c r="T89" s="57">
        <f>+T71+T86</f>
        <v>9582113</v>
      </c>
      <c r="U89" s="96">
        <f>U86+U71</f>
        <v>1750241.4399999992</v>
      </c>
      <c r="V89" s="57">
        <f>V71+V86</f>
        <v>692329.21</v>
      </c>
      <c r="W89" s="57">
        <f>W71+W86</f>
        <v>2230176</v>
      </c>
      <c r="X89" s="57">
        <f>X71+X86</f>
        <v>1733513</v>
      </c>
      <c r="Y89" s="59">
        <f>SUM(U89:X89)/T89%</f>
        <v>66.856440223570715</v>
      </c>
      <c r="Z89" s="59">
        <f>100-Y89</f>
        <v>33.143559776429285</v>
      </c>
      <c r="AA89" s="68"/>
    </row>
    <row r="90" spans="1:28" x14ac:dyDescent="0.25">
      <c r="A90" s="12"/>
      <c r="B90" s="12"/>
      <c r="C90" s="12"/>
      <c r="D90" s="12"/>
      <c r="K90" s="11"/>
      <c r="M90" s="34"/>
      <c r="N90" s="34"/>
      <c r="Q90" s="11"/>
      <c r="T90" s="49"/>
      <c r="U90" s="83">
        <f>SUM(U89/T89%)</f>
        <v>18.265714879379935</v>
      </c>
      <c r="V90" s="83">
        <f>SUM(V89/T89%)</f>
        <v>7.2252248538500847</v>
      </c>
      <c r="W90" s="83">
        <f>SUM(W89/T89%)</f>
        <v>23.274365476591644</v>
      </c>
      <c r="X90" s="83">
        <f>SUM(X89/T89%)</f>
        <v>18.091135013749053</v>
      </c>
      <c r="Y90" s="49"/>
    </row>
    <row r="91" spans="1:28" x14ac:dyDescent="0.25">
      <c r="O91" s="84"/>
      <c r="P91" s="11"/>
      <c r="Q91" s="11"/>
    </row>
    <row r="92" spans="1:28" x14ac:dyDescent="0.25">
      <c r="P92" s="11"/>
    </row>
    <row r="93" spans="1:28" x14ac:dyDescent="0.25">
      <c r="P93" s="11"/>
      <c r="R93" s="11"/>
      <c r="T93" s="11"/>
    </row>
    <row r="94" spans="1:28" x14ac:dyDescent="0.25">
      <c r="O94" s="11"/>
      <c r="P94" s="11"/>
    </row>
    <row r="100" spans="20:20" x14ac:dyDescent="0.25">
      <c r="T100" s="84"/>
    </row>
  </sheetData>
  <mergeCells count="20">
    <mergeCell ref="F43:F44"/>
    <mergeCell ref="H43:H44"/>
    <mergeCell ref="F45:F48"/>
    <mergeCell ref="H45:H48"/>
    <mergeCell ref="F5:F41"/>
    <mergeCell ref="H5:H41"/>
    <mergeCell ref="F50:F51"/>
    <mergeCell ref="H50:H51"/>
    <mergeCell ref="F52:F53"/>
    <mergeCell ref="H52:H53"/>
    <mergeCell ref="F54:F55"/>
    <mergeCell ref="H54:H55"/>
    <mergeCell ref="F78:F85"/>
    <mergeCell ref="H78:H85"/>
    <mergeCell ref="F56:F63"/>
    <mergeCell ref="H56:H63"/>
    <mergeCell ref="F65:F68"/>
    <mergeCell ref="H65:H68"/>
    <mergeCell ref="F69:F70"/>
    <mergeCell ref="H69:H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</dc:creator>
  <cp:lastModifiedBy>HP</cp:lastModifiedBy>
  <cp:revision/>
  <cp:lastPrinted>2023-11-09T11:39:19Z</cp:lastPrinted>
  <dcterms:created xsi:type="dcterms:W3CDTF">2016-05-13T05:43:40Z</dcterms:created>
  <dcterms:modified xsi:type="dcterms:W3CDTF">2026-05-14T12:30:27Z</dcterms:modified>
</cp:coreProperties>
</file>