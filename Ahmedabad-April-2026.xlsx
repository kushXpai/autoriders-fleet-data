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2023031\Documents\"/>
    </mc:Choice>
  </mc:AlternateContent>
  <xr:revisionPtr revIDLastSave="0" documentId="13_ncr:1_{81C69893-7DBB-4B15-9AB2-A742ECB75BB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PRIL26" sheetId="14" r:id="rId1"/>
  </sheets>
  <definedNames>
    <definedName name="_xlnm._FilterDatabase" localSheetId="0" hidden="1">APRIL26!$A$1:$Z$31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1" i="14" l="1"/>
  <c r="U30" i="14"/>
  <c r="S29" i="14"/>
  <c r="N29" i="14"/>
  <c r="J29" i="14"/>
  <c r="S13" i="14"/>
  <c r="N13" i="14"/>
  <c r="J13" i="14"/>
  <c r="S31" i="14"/>
  <c r="N31" i="14"/>
  <c r="J31" i="14"/>
  <c r="S30" i="14"/>
  <c r="N30" i="14"/>
  <c r="J30" i="14"/>
  <c r="S28" i="14"/>
  <c r="N28" i="14"/>
  <c r="J28" i="14"/>
  <c r="S27" i="14"/>
  <c r="N27" i="14"/>
  <c r="J27" i="14"/>
  <c r="N26" i="14"/>
  <c r="J26" i="14"/>
  <c r="S25" i="14"/>
  <c r="N25" i="14"/>
  <c r="J25" i="14"/>
  <c r="S24" i="14"/>
  <c r="N24" i="14"/>
  <c r="J24" i="14"/>
  <c r="S23" i="14"/>
  <c r="N23" i="14"/>
  <c r="J23" i="14"/>
  <c r="S22" i="14"/>
  <c r="N22" i="14"/>
  <c r="J22" i="14"/>
  <c r="S21" i="14"/>
  <c r="N21" i="14"/>
  <c r="J21" i="14"/>
  <c r="S20" i="14"/>
  <c r="N20" i="14"/>
  <c r="J20" i="14"/>
  <c r="S19" i="14"/>
  <c r="N19" i="14"/>
  <c r="J19" i="14"/>
  <c r="S18" i="14"/>
  <c r="N18" i="14"/>
  <c r="J18" i="14"/>
  <c r="J17" i="14"/>
  <c r="J16" i="14"/>
  <c r="N15" i="14"/>
  <c r="J15" i="14"/>
  <c r="S14" i="14"/>
  <c r="N14" i="14"/>
  <c r="J14" i="14"/>
  <c r="S12" i="14"/>
  <c r="N12" i="14"/>
  <c r="J12" i="14"/>
  <c r="S11" i="14"/>
  <c r="N11" i="14"/>
  <c r="J11" i="14"/>
  <c r="S10" i="14"/>
  <c r="N10" i="14"/>
  <c r="J10" i="14"/>
  <c r="S9" i="14"/>
  <c r="N9" i="14"/>
  <c r="J9" i="14"/>
  <c r="S8" i="14"/>
  <c r="N8" i="14"/>
  <c r="J8" i="14"/>
  <c r="S7" i="14"/>
  <c r="N7" i="14"/>
  <c r="J7" i="14"/>
  <c r="S6" i="14"/>
  <c r="N6" i="14"/>
  <c r="J6" i="14"/>
  <c r="S5" i="14"/>
  <c r="N5" i="14"/>
  <c r="J5" i="14"/>
  <c r="S4" i="14"/>
  <c r="N4" i="14"/>
  <c r="J4" i="14"/>
  <c r="S3" i="14"/>
  <c r="N3" i="14"/>
  <c r="J3" i="14"/>
  <c r="S2" i="14"/>
  <c r="N2" i="14"/>
  <c r="J2" i="14"/>
  <c r="O8" i="14" l="1"/>
  <c r="O24" i="14"/>
  <c r="O28" i="14"/>
  <c r="O4" i="14"/>
  <c r="O12" i="14"/>
  <c r="O10" i="14"/>
  <c r="O18" i="14"/>
  <c r="O26" i="14"/>
  <c r="O2" i="14"/>
  <c r="O29" i="14"/>
  <c r="O7" i="14"/>
  <c r="O23" i="14"/>
  <c r="O31" i="14"/>
  <c r="O9" i="14"/>
  <c r="O25" i="14"/>
  <c r="O30" i="14"/>
  <c r="O20" i="14"/>
  <c r="O5" i="14"/>
  <c r="O14" i="14"/>
  <c r="O21" i="14"/>
  <c r="O11" i="14"/>
  <c r="O19" i="14"/>
  <c r="O6" i="14"/>
  <c r="O15" i="14"/>
  <c r="O22" i="14"/>
  <c r="O13" i="14"/>
  <c r="O27" i="14"/>
  <c r="X31" i="14"/>
  <c r="Y31" i="14" s="1"/>
  <c r="Z31" i="14" s="1"/>
  <c r="O3" i="14"/>
  <c r="X10" i="14"/>
  <c r="Y10" i="14" s="1"/>
  <c r="Z10" i="14" s="1"/>
  <c r="N16" i="14"/>
  <c r="S16" i="14"/>
  <c r="N17" i="14"/>
  <c r="O17" i="14" s="1"/>
  <c r="S17" i="14"/>
  <c r="X20" i="14" l="1"/>
  <c r="Y20" i="14" s="1"/>
  <c r="Z20" i="14" s="1"/>
  <c r="X18" i="14"/>
  <c r="Y18" i="14" s="1"/>
  <c r="Z18" i="14" s="1"/>
  <c r="X7" i="14"/>
  <c r="Y7" i="14" s="1"/>
  <c r="Z7" i="14" s="1"/>
  <c r="X22" i="14"/>
  <c r="Y22" i="14" s="1"/>
  <c r="Z22" i="14" s="1"/>
  <c r="X21" i="14"/>
  <c r="Y21" i="14" s="1"/>
  <c r="Z21" i="14" s="1"/>
  <c r="X14" i="14"/>
  <c r="X6" i="14"/>
  <c r="Y6" i="14" s="1"/>
  <c r="Z6" i="14" s="1"/>
  <c r="X19" i="14"/>
  <c r="Y19" i="14" s="1"/>
  <c r="Z19" i="14" s="1"/>
  <c r="X29" i="14"/>
  <c r="Y29" i="14" s="1"/>
  <c r="Z29" i="14" s="1"/>
  <c r="X13" i="14"/>
  <c r="Y13" i="14" s="1"/>
  <c r="Z13" i="14" s="1"/>
  <c r="X30" i="14"/>
  <c r="Y30" i="14" s="1"/>
  <c r="Z30" i="14" s="1"/>
  <c r="X28" i="14"/>
  <c r="Y28" i="14" s="1"/>
  <c r="Z28" i="14" s="1"/>
  <c r="X27" i="14"/>
  <c r="X26" i="14"/>
  <c r="Y26" i="14" s="1"/>
  <c r="Z26" i="14" s="1"/>
  <c r="X25" i="14"/>
  <c r="Y25" i="14" s="1"/>
  <c r="Z25" i="14" s="1"/>
  <c r="X24" i="14"/>
  <c r="Y24" i="14" s="1"/>
  <c r="Z24" i="14" s="1"/>
  <c r="X23" i="14"/>
  <c r="Y23" i="14" s="1"/>
  <c r="Z23" i="14" s="1"/>
  <c r="O16" i="14"/>
  <c r="X15" i="14"/>
  <c r="Y15" i="14" s="1"/>
  <c r="Z15" i="14" s="1"/>
  <c r="X12" i="14"/>
  <c r="Y12" i="14" s="1"/>
  <c r="Z12" i="14" s="1"/>
  <c r="X11" i="14"/>
  <c r="Y11" i="14" s="1"/>
  <c r="Z11" i="14" s="1"/>
  <c r="X9" i="14"/>
  <c r="Y9" i="14" s="1"/>
  <c r="Z9" i="14" s="1"/>
  <c r="X8" i="14"/>
  <c r="Y8" i="14" s="1"/>
  <c r="Z8" i="14" s="1"/>
  <c r="X5" i="14"/>
  <c r="Y5" i="14" s="1"/>
  <c r="Z5" i="14" s="1"/>
  <c r="X4" i="14"/>
  <c r="Y4" i="14" s="1"/>
  <c r="Z4" i="14" s="1"/>
  <c r="X3" i="14"/>
  <c r="X2" i="14"/>
  <c r="Y2" i="14" s="1"/>
  <c r="Z2" i="14" s="1"/>
  <c r="Y14" i="14" l="1"/>
  <c r="Y27" i="14"/>
  <c r="Y3" i="14"/>
  <c r="X16" i="14"/>
  <c r="X17" i="14"/>
  <c r="Y17" i="14" s="1"/>
  <c r="Z17" i="14" s="1"/>
  <c r="Z14" i="14" l="1"/>
  <c r="Z27" i="14"/>
  <c r="Y16" i="14"/>
  <c r="Z16" i="14" s="1"/>
  <c r="Z3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tc={784F0005-0D77-4C18-B88A-979F1FFCAECE}</author>
    <author>tc={92366CEB-19EA-4836-9FD7-1E1521B92AD9}</author>
    <author>tc={4EF50F24-4879-4077-94B3-548E275F41F8}</author>
    <author>tc={18E7389E-BD71-40CA-968C-180BC33953BD}</author>
    <author>tc={8147A2C1-E4BE-4565-8994-AB22F6373091}</author>
    <author>tc={571A276B-3579-4BD3-A0FE-B2FCBA0B37FF}</author>
    <author>tc={AC74CBC8-5468-4070-A936-C983403BE763}</author>
    <author>tc={864765EE-D4A6-4168-80E3-68577E760D4E}</author>
    <author>tc={43705DDA-6E90-461C-B8FD-A03C8D50B8D6}</author>
    <author>tc={6EC872E2-9476-43E3-AE36-63EF6653F237}</author>
    <author>tc={1E183975-51EB-4078-9DDE-D93EC857D1B9}</author>
    <author>tc={C8895376-DF73-490C-A4DC-9ED520A74BD2}</author>
  </authors>
  <commentList>
    <comment ref="O5" authorId="0" shapeId="0" xr:uid="{784F0005-0D77-4C18-B88A-979F1FFCAECE}">
      <text>
        <t>[Threaded comment]
Your version of Excel allows you to read this threaded comment; however, any edits to it will get removed if the file is opened in a newer version of Excel. Learn more: https://go.microsoft.com/fwlink/?linkid=870924
Comment:
    06/04 - VISIT GERMAN REMEDIES SANAND, 15/04 - VISIT ZCP AND OTHER CLEINT, 24/04/2026 GERMEN REMEDIES ROUTE SURVEY</t>
      </text>
    </comment>
    <comment ref="O10" authorId="1" shapeId="0" xr:uid="{92366CEB-19EA-4836-9FD7-1E1521B92AD9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STR DUTY REPLACEMENT OF GJ01MT5939 SENT FOR SERVICE</t>
      </text>
    </comment>
    <comment ref="O13" authorId="2" shapeId="0" xr:uid="{4EF50F24-4879-4077-94B3-548E275F41F8}">
      <text>
        <t>[Threaded comment]
Your version of Excel allows you to read this threaded comment; however, any edits to it will get removed if the file is opened in a newer version of Excel. Learn more: https://go.microsoft.com/fwlink/?linkid=870924
Comment:
    ON 16/04 TRANSFERED FROM SURAT TO AHMEDABAD</t>
      </text>
    </comment>
    <comment ref="O15" authorId="3" shapeId="0" xr:uid="{18E7389E-BD71-40CA-968C-180BC33953BD}">
      <text>
        <t>[Threaded comment]
Your version of Excel allows you to read this threaded comment; however, any edits to it will get removed if the file is opened in a newer version of Excel. Learn more: https://go.microsoft.com/fwlink/?linkid=870924
Comment:
    WENT TO MORIYA PLANT FOR STR BUS DISCUSSION - HEMANT SHAH</t>
      </text>
    </comment>
    <comment ref="O16" authorId="4" shapeId="0" xr:uid="{8147A2C1-E4BE-4565-8994-AB22F6373091}">
      <text>
        <t>[Threaded comment]
Your version of Excel allows you to read this threaded comment; however, any edits to it will get removed if the file is opened in a newer version of Excel. Learn more: https://go.microsoft.com/fwlink/?linkid=870924
Comment:
    IN REPLACEMENT OF STR VEHICLE SENT FOR SERVICE</t>
      </text>
    </comment>
    <comment ref="O17" authorId="5" shapeId="0" xr:uid="{571A276B-3579-4BD3-A0FE-B2FCBA0B37FF}">
      <text>
        <t>[Threaded comment]
Your version of Excel allows you to read this threaded comment; however, any edits to it will get removed if the file is opened in a newer version of Excel. Learn more: https://go.microsoft.com/fwlink/?linkid=870924
Comment:
    WENT FOR FITNESS RENEWAL AND SERVICE</t>
      </text>
    </comment>
    <comment ref="O18" authorId="6" shapeId="0" xr:uid="{AC74CBC8-5468-4070-A936-C983403BE763}">
      <text>
        <t>[Threaded comment]
Your version of Excel allows you to read this threaded comment; however, any edits to it will get removed if the file is opened in a newer version of Excel. Learn more: https://go.microsoft.com/fwlink/?linkid=870924
Comment:
    WENT TO NADIAD ZYDUS HOSPITAL DUTY</t>
      </text>
    </comment>
    <comment ref="O20" authorId="7" shapeId="0" xr:uid="{864765EE-D4A6-4168-80E3-68577E760D4E}">
      <text>
        <t>[Threaded comment]
Your version of Excel allows you to read this threaded comment; however, any edits to it will get removed if the file is opened in a newer version of Excel. Learn more: https://go.microsoft.com/fwlink/?linkid=870924
Comment:
    WENT FOR FITNESS RENEWAL AND WHEEL ALIGMENT</t>
      </text>
    </comment>
    <comment ref="O21" authorId="8" shapeId="0" xr:uid="{43705DDA-6E90-461C-B8FD-A03C8D50B8D6}">
      <text>
        <t>[Threaded comment]
Your version of Excel allows you to read this threaded comment; however, any edits to it will get removed if the file is opened in a newer version of Excel. Learn more: https://go.microsoft.com/fwlink/?linkid=870924
Comment:
    WENT FOR FITNESS RENEWAL</t>
      </text>
    </comment>
    <comment ref="O23" authorId="9" shapeId="0" xr:uid="{6EC872E2-9476-43E3-AE36-63EF6653F237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HEMANT SHAH TO GO TO ZYDUS CHAGODAR AND MORIYA PLANTS</t>
      </text>
    </comment>
    <comment ref="O24" authorId="10" shapeId="0" xr:uid="{1E183975-51EB-4078-9DDE-D93EC857D1B9}">
      <text>
        <t>[Threaded comment]
Your version of Excel allows you to read this threaded comment; however, any edits to it will get removed if the file is opened in a newer version of Excel. Learn more: https://go.microsoft.com/fwlink/?linkid=870924
Comment:
    03/04 - 42 KMS PURCHASE STATIONERY, DELIVERY OF SHOES, ETC, 10/04 - 50 KMS VISIT TO EICHER, 27/04 - 50 KMS VISIT TO ZYDUS PLANT FOR STR DUTY</t>
      </text>
    </comment>
    <comment ref="O25" authorId="11" shapeId="0" xr:uid="{C8895376-DF73-490C-A4DC-9ED520A74BD2}">
      <text>
        <t>[Threaded comment]
Your version of Excel allows you to read this threaded comment; however, any edits to it will get removed if the file is opened in a newer version of Excel. Learn more: https://go.microsoft.com/fwlink/?linkid=870924
Comment:
    NRK DUTY KETKI MADAM - BARODA AND NADIAD</t>
      </text>
    </comment>
  </commentList>
</comments>
</file>

<file path=xl/sharedStrings.xml><?xml version="1.0" encoding="utf-8"?>
<sst xmlns="http://schemas.openxmlformats.org/spreadsheetml/2006/main" count="170" uniqueCount="83">
  <si>
    <t>NRK</t>
  </si>
  <si>
    <t>EMI</t>
  </si>
  <si>
    <t>Profit %</t>
  </si>
  <si>
    <t>GJ01LT9251</t>
  </si>
  <si>
    <t>15/05/2025</t>
  </si>
  <si>
    <t>GJ01LT9354</t>
  </si>
  <si>
    <t>GJ01LT9419</t>
  </si>
  <si>
    <t>GJ01MT1691</t>
  </si>
  <si>
    <t>21/08/2025</t>
  </si>
  <si>
    <t>GJ01MT1796</t>
  </si>
  <si>
    <t>GJ01MT4209</t>
  </si>
  <si>
    <t>CRYSTA</t>
  </si>
  <si>
    <t>08/02/2021</t>
  </si>
  <si>
    <t>GJ01MT4349</t>
  </si>
  <si>
    <t>21/10/2021</t>
  </si>
  <si>
    <t>GJ01MT4859</t>
  </si>
  <si>
    <t>03//05/2023</t>
  </si>
  <si>
    <t>GJ01MT5718</t>
  </si>
  <si>
    <t>GJ01MT5783</t>
  </si>
  <si>
    <t>GJ01MT5985</t>
  </si>
  <si>
    <t>04/01/2022</t>
  </si>
  <si>
    <t>MH02FG2751</t>
  </si>
  <si>
    <t>MH02FG2752</t>
  </si>
  <si>
    <t>MH02FG5401</t>
  </si>
  <si>
    <t>MH02FG6979</t>
  </si>
  <si>
    <t>29/03/2022</t>
  </si>
  <si>
    <t>MH02FG7076</t>
  </si>
  <si>
    <t>MH02FG8020</t>
  </si>
  <si>
    <t>19/07/2022</t>
  </si>
  <si>
    <t>MH02FX4653</t>
  </si>
  <si>
    <t>17/10/2023</t>
  </si>
  <si>
    <t>MH02FX8011</t>
  </si>
  <si>
    <t>23/04/2024</t>
  </si>
  <si>
    <t>MH02FX8013</t>
  </si>
  <si>
    <t>MH02GH4413</t>
  </si>
  <si>
    <t>27/02/2025</t>
  </si>
  <si>
    <t xml:space="preserve">GJ01LT2657
</t>
  </si>
  <si>
    <t>26/07/2024</t>
  </si>
  <si>
    <t xml:space="preserve">GJ01LT2931
</t>
  </si>
  <si>
    <t>MH02FX1098</t>
  </si>
  <si>
    <t>HYCROSS</t>
  </si>
  <si>
    <t>02/03/2023</t>
  </si>
  <si>
    <t>MH02GH0375</t>
  </si>
  <si>
    <t>13/08/2024</t>
  </si>
  <si>
    <t>GJ01MT5763</t>
  </si>
  <si>
    <t>24/02/2026</t>
  </si>
  <si>
    <t>GJ01MT6253</t>
  </si>
  <si>
    <t>27/02/2026</t>
  </si>
  <si>
    <t>GJ01MT6988</t>
  </si>
  <si>
    <t>23/03/2026</t>
  </si>
  <si>
    <t>GJ01MT5644</t>
  </si>
  <si>
    <t>GJ01MT5939</t>
  </si>
  <si>
    <t>17/02/2026</t>
  </si>
  <si>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</si>
  <si>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</si>
  <si>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</si>
  <si>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</si>
  <si>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</si>
  <si>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</si>
  <si>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</si>
  <si>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</si>
  <si>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</si>
  <si>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</si>
  <si>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</si>
  <si>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</si>
  <si>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</si>
  <si>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</si>
  <si>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</si>
  <si>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</si>
  <si>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</si>
  <si>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</si>
  <si>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</si>
  <si>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</si>
  <si>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</si>
  <si>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Total Cost</t>
  </si>
  <si>
    <t>Profit</t>
  </si>
  <si>
    <t>ERTIGA</t>
  </si>
  <si>
    <t>INVICTO</t>
  </si>
  <si>
    <t>CITROEN</t>
  </si>
  <si>
    <t>AMAZE</t>
  </si>
  <si>
    <t>TEMPO TRAVELLER</t>
  </si>
  <si>
    <t>April</t>
  </si>
  <si>
    <t>Ahmedabad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</si>
</sst>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[Red]\(0\)"/>
    <numFmt numFmtId="165" formatCode="[$-14009]dd\-mm\-yyyy;@"/>
    <numFmt numFmtId="166" formatCode="dd/mm/yyyy;@"/>
  </numFmts>
  <fonts count="10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49" fontId="6" fillId="2" borderId="0" xfId="0" applyNumberFormat="1" applyFont="1" applyFill="1" applyAlignment="1">
      <alignment horizontal="left" vertical="center"/>
    </xf>
    <xf numFmtId="165" fontId="7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8" fillId="2" borderId="0" xfId="0" applyNumberFormat="1" applyFont="1" applyFill="1" applyAlignment="1">
      <alignment horizontal="center"/>
    </xf>
    <xf numFmtId="1" fontId="5" fillId="0" borderId="0" xfId="0" applyNumberFormat="1" applyFont="1" applyAlignment="1">
      <alignment horizontal="center"/>
    </xf>
    <xf numFmtId="1" fontId="8" fillId="3" borderId="0" xfId="0" applyNumberFormat="1" applyFont="1" applyFill="1" applyAlignment="1">
      <alignment horizontal="center" vertical="center" wrapText="1"/>
    </xf>
    <xf numFmtId="164" fontId="6" fillId="2" borderId="0" xfId="0" applyNumberFormat="1" applyFont="1" applyFill="1" applyAlignment="1">
      <alignment horizontal="center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1" fillId="0" borderId="0" xfId="1" applyAlignment="1">
      <alignment horizontal="left"/>
    </xf>
    <xf numFmtId="0" fontId="5" fillId="0" borderId="0" xfId="0" applyFont="1" applyAlignment="1">
      <alignment horizontal="left" vertical="center"/>
    </xf>
    <xf numFmtId="165" fontId="7" fillId="0" borderId="0" xfId="1" quotePrefix="1" applyNumberFormat="1" applyFont="1" applyAlignment="1">
      <alignment horizontal="center"/>
    </xf>
    <xf numFmtId="166" fontId="7" fillId="0" borderId="0" xfId="1" quotePrefix="1" applyNumberFormat="1" applyFont="1" applyAlignment="1">
      <alignment horizontal="center"/>
    </xf>
    <xf numFmtId="166" fontId="7" fillId="0" borderId="0" xfId="1" applyNumberFormat="1" applyFont="1" applyAlignment="1">
      <alignment horizontal="center"/>
    </xf>
    <xf numFmtId="0" fontId="5" fillId="0" borderId="0" xfId="0" applyFont="1" applyAlignment="1">
      <alignment horizontal="left" vertical="top"/>
    </xf>
    <xf numFmtId="14" fontId="7" fillId="0" borderId="0" xfId="1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1" fontId="8" fillId="3" borderId="0" xfId="0" applyNumberFormat="1" applyFont="1" applyFill="1" applyAlignment="1">
      <alignment horizontal="center" wrapText="1"/>
    </xf>
    <xf numFmtId="0" fontId="5" fillId="2" borderId="0" xfId="0" applyFont="1" applyFill="1" applyAlignment="1">
      <alignment horizontal="center"/>
    </xf>
    <xf numFmtId="0" fontId="4" fillId="0" borderId="0" xfId="0" quotePrefix="1" applyFont="1" applyAlignment="1">
      <alignment horizontal="center" vertical="center"/>
    </xf>
    <xf numFmtId="9" fontId="4" fillId="0" borderId="0" xfId="0" applyNumberFormat="1" applyFont="1" applyAlignment="1">
      <alignment horizontal="left"/>
    </xf>
    <xf numFmtId="165" fontId="1" fillId="0" borderId="0" xfId="1" applyNumberFormat="1" applyAlignment="1">
      <alignment horizontal="center"/>
    </xf>
    <xf numFmtId="9" fontId="7" fillId="0" borderId="0" xfId="1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AF9919DD-4261-4FAD-9079-27F811456B8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mant Shah" id="{1D6A1A25-8C7F-4A97-B4C0-5EB7462145D6}" userId="S::hemant@autoriders.in::b37b6d41-c07f-492f-ab64-5ce7b1b387a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5" dT="2026-05-08T05:58:34.68" personId="{1D6A1A25-8C7F-4A97-B4C0-5EB7462145D6}" id="{784F0005-0D77-4C18-B88A-979F1FFCAECE}">
    <text>06/04 - VISIT GERMAN REMEDIES SANAND, 15/04 - VISIT ZCP AND OTHER CLEINT, 24/04/2026 GERMEN REMEDIES ROUTE SURVEY</text>
  </threadedComment>
  <threadedComment ref="O10" dT="2026-05-08T06:10:02.63" personId="{1D6A1A25-8C7F-4A97-B4C0-5EB7462145D6}" id="{92366CEB-19EA-4836-9FD7-1E1521B92AD9}">
    <text>SENT IN STR DUTY REPLACEMENT OF GJ01MT5939 SENT FOR SERVICE</text>
  </threadedComment>
  <threadedComment ref="O13" dT="2026-05-08T06:18:34.57" personId="{1D6A1A25-8C7F-4A97-B4C0-5EB7462145D6}" id="{4EF50F24-4879-4077-94B3-548E275F41F8}">
    <text>ON 16/04 TRANSFERED FROM SURAT TO AHMEDABAD</text>
  </threadedComment>
  <threadedComment ref="O15" dT="2026-05-08T07:06:13.77" personId="{1D6A1A25-8C7F-4A97-B4C0-5EB7462145D6}" id="{18E7389E-BD71-40CA-968C-180BC33953BD}">
    <text>WENT TO MORIYA PLANT FOR STR BUS DISCUSSION - HEMANT SHAH</text>
  </threadedComment>
  <threadedComment ref="O16" dT="2026-05-08T07:12:28.53" personId="{1D6A1A25-8C7F-4A97-B4C0-5EB7462145D6}" id="{8147A2C1-E4BE-4565-8994-AB22F6373091}">
    <text>IN REPLACEMENT OF STR VEHICLE SENT FOR SERVICE</text>
  </threadedComment>
  <threadedComment ref="O17" dT="2026-05-08T07:20:26.07" personId="{1D6A1A25-8C7F-4A97-B4C0-5EB7462145D6}" id="{571A276B-3579-4BD3-A0FE-B2FCBA0B37FF}">
    <text>WENT FOR FITNESS RENEWAL AND SERVICE</text>
  </threadedComment>
  <threadedComment ref="O18" dT="2026-05-08T07:25:12.30" personId="{1D6A1A25-8C7F-4A97-B4C0-5EB7462145D6}" id="{AC74CBC8-5468-4070-A936-C983403BE763}">
    <text>WENT TO NADIAD ZYDUS HOSPITAL DUTY</text>
  </threadedComment>
  <threadedComment ref="O20" dT="2026-05-08T07:29:12.21" personId="{1D6A1A25-8C7F-4A97-B4C0-5EB7462145D6}" id="{864765EE-D4A6-4168-80E3-68577E760D4E}">
    <text>WENT FOR FITNESS RENEWAL AND WHEEL ALIGMENT</text>
  </threadedComment>
  <threadedComment ref="O21" dT="2026-05-08T08:15:22.32" personId="{1D6A1A25-8C7F-4A97-B4C0-5EB7462145D6}" id="{43705DDA-6E90-461C-B8FD-A03C8D50B8D6}">
    <text>WENT FOR FITNESS RENEWAL</text>
  </threadedComment>
  <threadedComment ref="O23" dT="2026-05-08T08:16:49.88" personId="{1D6A1A25-8C7F-4A97-B4C0-5EB7462145D6}" id="{6EC872E2-9476-43E3-AE36-63EF6653F237}">
    <text>USED BY HEMANT SHAH TO GO TO ZYDUS CHAGODAR AND MORIYA PLANTS</text>
  </threadedComment>
  <threadedComment ref="O24" dT="2026-05-11T05:01:45.83" personId="{1D6A1A25-8C7F-4A97-B4C0-5EB7462145D6}" id="{1E183975-51EB-4078-9DDE-D93EC857D1B9}">
    <text>03/04 - 42 KMS PURCHASE STATIONERY, DELIVERY OF SHOES, ETC, 10/04 - 50 KMS VISIT TO EICHER, 27/04 - 50 KMS VISIT TO ZYDUS PLANT FOR STR DUTY</text>
  </threadedComment>
  <threadedComment ref="O25" dT="2026-05-08T08:48:30.08" personId="{1D6A1A25-8C7F-4A97-B4C0-5EB7462145D6}" id="{C8895376-DF73-490C-A4DC-9ED520A74BD2}">
    <text>NRK DUTY KETKI MADAM - BARODA AND NADIAD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573E7-0C10-47E9-84CF-CCBE31780A2B}">
  <dimension ref="A1:Z32"/>
  <sheetViews>
    <sheetView tabSelected="1" workbookViewId="0">
      <selection activeCell="B2" sqref="B2:B31"/>
    </sheetView>
  </sheetViews>
  <sheetFormatPr defaultColWidth="8.85546875" defaultRowHeight="14.25" x14ac:dyDescent="0.2"/>
  <cols>
    <col min="1" max="1" width="11.140625" style="14" bestFit="1" customWidth="1"/>
    <col min="2" max="2" width="12.140625" style="31" bestFit="1" customWidth="1"/>
    <col min="3" max="3" width="8.85546875" style="31" bestFit="1" customWidth="1"/>
    <col min="4" max="4" width="7.42578125" style="31" bestFit="1" customWidth="1"/>
    <col min="5" max="5" width="22.140625" style="31" bestFit="1" customWidth="1"/>
    <col min="6" max="6" width="19.140625" style="31" bestFit="1" customWidth="1"/>
    <col min="7" max="7" width="21.28515625" style="14" bestFit="1" customWidth="1"/>
    <col min="8" max="8" width="18.140625" style="14" bestFit="1" customWidth="1"/>
    <col min="9" max="9" width="17" style="14" bestFit="1" customWidth="1"/>
    <col min="10" max="10" width="14.85546875" style="14" bestFit="1" customWidth="1"/>
    <col min="11" max="12" width="12.5703125" style="14" bestFit="1" customWidth="1"/>
    <col min="13" max="13" width="13.7109375" style="14" bestFit="1" customWidth="1"/>
    <col min="14" max="14" width="18.42578125" style="14" bestFit="1" customWidth="1"/>
    <col min="15" max="15" width="9.42578125" style="14" bestFit="1" customWidth="1"/>
    <col min="16" max="17" width="16.7109375" style="14" bestFit="1" customWidth="1"/>
    <col min="18" max="18" width="18" style="14" bestFit="1" customWidth="1"/>
    <col min="19" max="19" width="18.85546875" style="14" bestFit="1" customWidth="1"/>
    <col min="20" max="20" width="14" style="14" bestFit="1" customWidth="1"/>
    <col min="21" max="21" width="16" style="14" bestFit="1" customWidth="1"/>
    <col min="22" max="22" width="19" style="14" bestFit="1" customWidth="1"/>
    <col min="23" max="23" width="8.85546875" style="14" bestFit="1" customWidth="1"/>
    <col min="24" max="24" width="14.5703125" style="14" bestFit="1" customWidth="1"/>
    <col min="25" max="25" width="10.42578125" style="14" bestFit="1" customWidth="1"/>
    <col min="26" max="26" width="12.42578125" style="14" bestFit="1" customWidth="1"/>
    <col min="27" max="16384" width="8.85546875" style="14"/>
  </cols>
  <sheetData>
    <row r="1" spans="1:26" s="1" customFormat="1" ht="15.75" customHeight="1" x14ac:dyDescent="0.25">
      <c r="A1" s="1" t="s">
        <v>53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  <c r="G1" s="3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0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1</v>
      </c>
      <c r="X1" s="1" t="s">
        <v>74</v>
      </c>
      <c r="Y1" s="1" t="s">
        <v>75</v>
      </c>
      <c r="Z1" s="1" t="s">
        <v>2</v>
      </c>
    </row>
    <row r="2" spans="1:26" ht="18.75" customHeight="1" x14ac:dyDescent="0.2">
      <c r="A2" s="4">
        <v>1</v>
      </c>
      <c r="B2" s="5" t="s">
        <v>82</v>
      </c>
      <c r="C2" s="34" t="s">
        <v>81</v>
      </c>
      <c r="D2" s="5">
        <v>2026</v>
      </c>
      <c r="E2" s="6" t="s">
        <v>3</v>
      </c>
      <c r="F2" s="7" t="s">
        <v>79</v>
      </c>
      <c r="G2" s="8" t="s">
        <v>4</v>
      </c>
      <c r="H2" s="9">
        <v>30915</v>
      </c>
      <c r="I2" s="9">
        <v>37383</v>
      </c>
      <c r="J2" s="10">
        <f>+I2-H2</f>
        <v>6468</v>
      </c>
      <c r="K2" s="9">
        <v>6459</v>
      </c>
      <c r="L2" s="9">
        <v>0</v>
      </c>
      <c r="M2" s="9">
        <v>0</v>
      </c>
      <c r="N2" s="10">
        <f t="shared" ref="N2:N26" si="0">+K2+L2+M2</f>
        <v>6459</v>
      </c>
      <c r="O2" s="10">
        <f t="shared" ref="O2:O26" si="1">+J2-N2</f>
        <v>9</v>
      </c>
      <c r="P2" s="10">
        <v>125630</v>
      </c>
      <c r="Q2" s="9">
        <v>0</v>
      </c>
      <c r="R2" s="9">
        <v>0</v>
      </c>
      <c r="S2" s="10">
        <f t="shared" ref="S2:S25" si="2">+P2+Q2+R2</f>
        <v>125630</v>
      </c>
      <c r="T2" s="11">
        <v>52540.67</v>
      </c>
      <c r="U2" s="11">
        <v>7843.97</v>
      </c>
      <c r="V2" s="11">
        <v>25621.118571934348</v>
      </c>
      <c r="W2" s="12">
        <v>19745</v>
      </c>
      <c r="X2" s="10">
        <f t="shared" ref="X2:X12" si="3">SUM(T2:W2)</f>
        <v>105750.75857193435</v>
      </c>
      <c r="Y2" s="13">
        <f t="shared" ref="Y2:Y26" si="4">SUM(S2-X2)</f>
        <v>19879.241428065652</v>
      </c>
      <c r="Z2" s="13">
        <f t="shared" ref="Z2:Z26" si="5">SUM(Y2*100/S2)</f>
        <v>15.823641986838853</v>
      </c>
    </row>
    <row r="3" spans="1:26" ht="15" x14ac:dyDescent="0.2">
      <c r="A3" s="4">
        <v>2</v>
      </c>
      <c r="B3" s="5" t="s">
        <v>82</v>
      </c>
      <c r="C3" s="34" t="s">
        <v>81</v>
      </c>
      <c r="D3" s="5">
        <v>2026</v>
      </c>
      <c r="E3" s="6" t="s">
        <v>5</v>
      </c>
      <c r="F3" s="7" t="s">
        <v>79</v>
      </c>
      <c r="G3" s="8" t="s">
        <v>4</v>
      </c>
      <c r="H3" s="9">
        <v>62250</v>
      </c>
      <c r="I3" s="9">
        <v>69927</v>
      </c>
      <c r="J3" s="10">
        <f>+I3-H3</f>
        <v>7677</v>
      </c>
      <c r="K3" s="9">
        <v>7614</v>
      </c>
      <c r="L3" s="9">
        <v>0</v>
      </c>
      <c r="M3" s="9">
        <v>0</v>
      </c>
      <c r="N3" s="10">
        <f t="shared" si="0"/>
        <v>7614</v>
      </c>
      <c r="O3" s="10">
        <f t="shared" si="1"/>
        <v>63</v>
      </c>
      <c r="P3" s="10">
        <v>140618</v>
      </c>
      <c r="Q3" s="9">
        <v>0</v>
      </c>
      <c r="R3" s="9">
        <v>0</v>
      </c>
      <c r="S3" s="10">
        <f t="shared" si="2"/>
        <v>140618</v>
      </c>
      <c r="T3" s="11">
        <v>61855</v>
      </c>
      <c r="U3" s="11">
        <v>2350</v>
      </c>
      <c r="V3" s="11">
        <v>28677.787561476274</v>
      </c>
      <c r="W3" s="12">
        <v>19745</v>
      </c>
      <c r="X3" s="10">
        <f t="shared" si="3"/>
        <v>112627.78756147627</v>
      </c>
      <c r="Y3" s="13">
        <f t="shared" si="4"/>
        <v>27990.212438523726</v>
      </c>
      <c r="Z3" s="13">
        <f t="shared" si="5"/>
        <v>19.905141901124839</v>
      </c>
    </row>
    <row r="4" spans="1:26" ht="15" x14ac:dyDescent="0.2">
      <c r="A4" s="4">
        <v>3</v>
      </c>
      <c r="B4" s="5" t="s">
        <v>82</v>
      </c>
      <c r="C4" s="34" t="s">
        <v>81</v>
      </c>
      <c r="D4" s="5">
        <v>2026</v>
      </c>
      <c r="E4" s="6" t="s">
        <v>6</v>
      </c>
      <c r="F4" s="7" t="s">
        <v>79</v>
      </c>
      <c r="G4" s="8" t="s">
        <v>4</v>
      </c>
      <c r="H4" s="9">
        <v>60203</v>
      </c>
      <c r="I4" s="9">
        <v>65701</v>
      </c>
      <c r="J4" s="10">
        <f t="shared" ref="J4:J26" si="6">+I4-H4</f>
        <v>5498</v>
      </c>
      <c r="K4" s="9">
        <v>5469</v>
      </c>
      <c r="L4" s="9">
        <v>0</v>
      </c>
      <c r="M4" s="9">
        <v>0</v>
      </c>
      <c r="N4" s="10">
        <f t="shared" si="0"/>
        <v>5469</v>
      </c>
      <c r="O4" s="10">
        <f t="shared" si="1"/>
        <v>29</v>
      </c>
      <c r="P4" s="10">
        <v>116594</v>
      </c>
      <c r="Q4" s="9">
        <v>0</v>
      </c>
      <c r="R4" s="9">
        <v>0</v>
      </c>
      <c r="S4" s="10">
        <f t="shared" si="2"/>
        <v>116594</v>
      </c>
      <c r="T4" s="11">
        <v>36979</v>
      </c>
      <c r="U4" s="11">
        <v>12487.02</v>
      </c>
      <c r="V4" s="11">
        <v>23778.306923315398</v>
      </c>
      <c r="W4" s="12">
        <v>19745</v>
      </c>
      <c r="X4" s="10">
        <f t="shared" si="3"/>
        <v>92989.326923315399</v>
      </c>
      <c r="Y4" s="13">
        <f t="shared" si="4"/>
        <v>23604.673076684601</v>
      </c>
      <c r="Z4" s="13">
        <f t="shared" si="5"/>
        <v>20.245186782068203</v>
      </c>
    </row>
    <row r="5" spans="1:26" ht="15" x14ac:dyDescent="0.2">
      <c r="A5" s="4">
        <v>4</v>
      </c>
      <c r="B5" s="5" t="s">
        <v>82</v>
      </c>
      <c r="C5" s="34" t="s">
        <v>81</v>
      </c>
      <c r="D5" s="5">
        <v>2026</v>
      </c>
      <c r="E5" s="6" t="s">
        <v>7</v>
      </c>
      <c r="F5" s="7" t="s">
        <v>79</v>
      </c>
      <c r="G5" s="15" t="s">
        <v>8</v>
      </c>
      <c r="H5" s="9">
        <v>38748</v>
      </c>
      <c r="I5" s="9">
        <v>44199</v>
      </c>
      <c r="J5" s="10">
        <f t="shared" si="6"/>
        <v>5451</v>
      </c>
      <c r="K5" s="9">
        <v>4693</v>
      </c>
      <c r="L5" s="9">
        <v>0</v>
      </c>
      <c r="M5" s="9">
        <v>0</v>
      </c>
      <c r="N5" s="10">
        <f t="shared" si="0"/>
        <v>4693</v>
      </c>
      <c r="O5" s="10">
        <f t="shared" si="1"/>
        <v>758</v>
      </c>
      <c r="P5" s="10">
        <v>96099</v>
      </c>
      <c r="Q5" s="9">
        <v>0</v>
      </c>
      <c r="R5" s="9">
        <v>0</v>
      </c>
      <c r="S5" s="10">
        <f t="shared" si="2"/>
        <v>96099</v>
      </c>
      <c r="T5" s="11">
        <v>38028.31</v>
      </c>
      <c r="U5" s="11">
        <v>11420.99</v>
      </c>
      <c r="V5" s="11">
        <v>19598.534375900017</v>
      </c>
      <c r="W5" s="12">
        <v>19200</v>
      </c>
      <c r="X5" s="10">
        <f t="shared" si="3"/>
        <v>88247.834375900013</v>
      </c>
      <c r="Y5" s="13">
        <f t="shared" si="4"/>
        <v>7851.1656240999873</v>
      </c>
      <c r="Z5" s="13">
        <f t="shared" si="5"/>
        <v>8.1698723442491463</v>
      </c>
    </row>
    <row r="6" spans="1:26" ht="15" x14ac:dyDescent="0.2">
      <c r="A6" s="4">
        <v>5</v>
      </c>
      <c r="B6" s="5" t="s">
        <v>82</v>
      </c>
      <c r="C6" s="34" t="s">
        <v>81</v>
      </c>
      <c r="D6" s="5">
        <v>2026</v>
      </c>
      <c r="E6" s="6" t="s">
        <v>9</v>
      </c>
      <c r="F6" s="7" t="s">
        <v>79</v>
      </c>
      <c r="G6" s="15" t="s">
        <v>8</v>
      </c>
      <c r="H6" s="9">
        <v>35820</v>
      </c>
      <c r="I6" s="9">
        <v>42196</v>
      </c>
      <c r="J6" s="10">
        <f t="shared" si="6"/>
        <v>6376</v>
      </c>
      <c r="K6" s="9">
        <v>6368</v>
      </c>
      <c r="L6" s="9">
        <v>0</v>
      </c>
      <c r="M6" s="9">
        <v>0</v>
      </c>
      <c r="N6" s="10">
        <f t="shared" si="0"/>
        <v>6368</v>
      </c>
      <c r="O6" s="10">
        <f t="shared" si="1"/>
        <v>8</v>
      </c>
      <c r="P6" s="10">
        <v>118505</v>
      </c>
      <c r="Q6" s="9">
        <v>0</v>
      </c>
      <c r="R6" s="9">
        <v>0</v>
      </c>
      <c r="S6" s="10">
        <f t="shared" si="2"/>
        <v>118505</v>
      </c>
      <c r="T6" s="11">
        <v>61294.95</v>
      </c>
      <c r="U6" s="11">
        <v>11367.07</v>
      </c>
      <c r="V6" s="11">
        <v>24168.038337714559</v>
      </c>
      <c r="W6" s="12">
        <v>19200</v>
      </c>
      <c r="X6" s="10">
        <f t="shared" si="3"/>
        <v>116030.05833771455</v>
      </c>
      <c r="Y6" s="13">
        <f t="shared" si="4"/>
        <v>2474.9416622854478</v>
      </c>
      <c r="Z6" s="13">
        <f t="shared" si="5"/>
        <v>2.0884702436905176</v>
      </c>
    </row>
    <row r="7" spans="1:26" ht="15" x14ac:dyDescent="0.2">
      <c r="A7" s="4">
        <v>6</v>
      </c>
      <c r="B7" s="5" t="s">
        <v>82</v>
      </c>
      <c r="C7" s="34" t="s">
        <v>81</v>
      </c>
      <c r="D7" s="5">
        <v>2026</v>
      </c>
      <c r="E7" s="16" t="s">
        <v>10</v>
      </c>
      <c r="F7" s="17" t="s">
        <v>11</v>
      </c>
      <c r="G7" s="18" t="s">
        <v>12</v>
      </c>
      <c r="H7" s="9">
        <v>70989</v>
      </c>
      <c r="I7" s="9">
        <v>77206</v>
      </c>
      <c r="J7" s="10">
        <f t="shared" si="6"/>
        <v>6217</v>
      </c>
      <c r="K7" s="9">
        <v>6202</v>
      </c>
      <c r="L7" s="9">
        <v>0</v>
      </c>
      <c r="M7" s="9">
        <v>0</v>
      </c>
      <c r="N7" s="10">
        <f t="shared" si="0"/>
        <v>6202</v>
      </c>
      <c r="O7" s="10">
        <f t="shared" si="1"/>
        <v>15</v>
      </c>
      <c r="P7" s="10">
        <v>174194</v>
      </c>
      <c r="Q7" s="9">
        <v>0</v>
      </c>
      <c r="R7" s="9">
        <v>0</v>
      </c>
      <c r="S7" s="10">
        <f t="shared" si="2"/>
        <v>174194</v>
      </c>
      <c r="T7" s="11">
        <v>51666.74</v>
      </c>
      <c r="U7" s="11">
        <v>20197.46</v>
      </c>
      <c r="V7" s="11">
        <v>35525.313448376437</v>
      </c>
      <c r="W7" s="12">
        <v>0</v>
      </c>
      <c r="X7" s="10">
        <f t="shared" si="3"/>
        <v>107389.51344837644</v>
      </c>
      <c r="Y7" s="13">
        <f t="shared" si="4"/>
        <v>66804.486551623559</v>
      </c>
      <c r="Z7" s="13">
        <f t="shared" si="5"/>
        <v>38.350624333572661</v>
      </c>
    </row>
    <row r="8" spans="1:26" ht="15" x14ac:dyDescent="0.2">
      <c r="A8" s="4">
        <v>7</v>
      </c>
      <c r="B8" s="5" t="s">
        <v>82</v>
      </c>
      <c r="C8" s="34" t="s">
        <v>81</v>
      </c>
      <c r="D8" s="5">
        <v>2026</v>
      </c>
      <c r="E8" s="16" t="s">
        <v>13</v>
      </c>
      <c r="F8" s="17" t="s">
        <v>11</v>
      </c>
      <c r="G8" s="19" t="s">
        <v>14</v>
      </c>
      <c r="H8" s="9">
        <v>66658</v>
      </c>
      <c r="I8" s="9">
        <v>68242</v>
      </c>
      <c r="J8" s="10">
        <f t="shared" si="6"/>
        <v>1584</v>
      </c>
      <c r="K8" s="9">
        <v>1584</v>
      </c>
      <c r="L8" s="9">
        <v>0</v>
      </c>
      <c r="M8" s="9">
        <v>0</v>
      </c>
      <c r="N8" s="10">
        <f t="shared" si="0"/>
        <v>1584</v>
      </c>
      <c r="O8" s="10">
        <f t="shared" si="1"/>
        <v>0</v>
      </c>
      <c r="P8" s="10">
        <v>46722</v>
      </c>
      <c r="Q8" s="9">
        <v>0</v>
      </c>
      <c r="R8" s="9">
        <v>0</v>
      </c>
      <c r="S8" s="10">
        <f t="shared" si="2"/>
        <v>46722</v>
      </c>
      <c r="T8" s="11">
        <v>11371.35</v>
      </c>
      <c r="U8" s="11">
        <v>3346.5</v>
      </c>
      <c r="V8" s="11">
        <v>9528.5353969427415</v>
      </c>
      <c r="W8" s="12">
        <v>0</v>
      </c>
      <c r="X8" s="10">
        <f t="shared" si="3"/>
        <v>24246.385396942744</v>
      </c>
      <c r="Y8" s="13">
        <f t="shared" si="4"/>
        <v>22475.614603057256</v>
      </c>
      <c r="Z8" s="13">
        <f t="shared" si="5"/>
        <v>48.104992515425835</v>
      </c>
    </row>
    <row r="9" spans="1:26" ht="15" x14ac:dyDescent="0.2">
      <c r="A9" s="4">
        <v>8</v>
      </c>
      <c r="B9" s="5" t="s">
        <v>82</v>
      </c>
      <c r="C9" s="34" t="s">
        <v>81</v>
      </c>
      <c r="D9" s="5">
        <v>2026</v>
      </c>
      <c r="E9" s="6" t="s">
        <v>15</v>
      </c>
      <c r="F9" s="17" t="s">
        <v>11</v>
      </c>
      <c r="G9" s="19" t="s">
        <v>16</v>
      </c>
      <c r="H9" s="9">
        <v>59708</v>
      </c>
      <c r="I9" s="9">
        <v>65534</v>
      </c>
      <c r="J9" s="10">
        <f>+I9-H9</f>
        <v>5826</v>
      </c>
      <c r="K9" s="9">
        <v>5803</v>
      </c>
      <c r="L9" s="9">
        <v>0</v>
      </c>
      <c r="M9" s="9">
        <v>0</v>
      </c>
      <c r="N9" s="10">
        <f>+K9+L9+M9</f>
        <v>5803</v>
      </c>
      <c r="O9" s="10">
        <f>+J9-N9</f>
        <v>23</v>
      </c>
      <c r="P9" s="10">
        <v>154574.5</v>
      </c>
      <c r="Q9" s="9">
        <v>0</v>
      </c>
      <c r="R9" s="9">
        <v>0</v>
      </c>
      <c r="S9" s="10">
        <f>+P9+Q9+R9</f>
        <v>154574.5</v>
      </c>
      <c r="T9" s="11">
        <v>44216.26</v>
      </c>
      <c r="U9" s="11">
        <v>14165</v>
      </c>
      <c r="V9" s="11">
        <v>31524.091321320273</v>
      </c>
      <c r="W9" s="12">
        <v>56303</v>
      </c>
      <c r="X9" s="10">
        <f>SUM(T9:W9)</f>
        <v>146208.35132132028</v>
      </c>
      <c r="Y9" s="13">
        <f>SUM(S9-X9)</f>
        <v>8366.1486786797177</v>
      </c>
      <c r="Z9" s="13">
        <f>SUM(Y9*100/S9)</f>
        <v>5.4123731137281492</v>
      </c>
    </row>
    <row r="10" spans="1:26" ht="15" x14ac:dyDescent="0.2">
      <c r="A10" s="4">
        <v>9</v>
      </c>
      <c r="B10" s="5" t="s">
        <v>82</v>
      </c>
      <c r="C10" s="34" t="s">
        <v>81</v>
      </c>
      <c r="D10" s="5">
        <v>2026</v>
      </c>
      <c r="E10" s="6" t="s">
        <v>17</v>
      </c>
      <c r="F10" s="17" t="s">
        <v>11</v>
      </c>
      <c r="G10" s="19">
        <v>44350</v>
      </c>
      <c r="H10" s="9">
        <v>109485</v>
      </c>
      <c r="I10" s="9">
        <v>112652</v>
      </c>
      <c r="J10" s="10">
        <f>+I10-H10</f>
        <v>3167</v>
      </c>
      <c r="K10" s="9">
        <v>2948</v>
      </c>
      <c r="L10" s="9">
        <v>0</v>
      </c>
      <c r="M10" s="9">
        <v>0</v>
      </c>
      <c r="N10" s="10">
        <f>+K10+L10+M10</f>
        <v>2948</v>
      </c>
      <c r="O10" s="10">
        <f>+J10-N10</f>
        <v>219</v>
      </c>
      <c r="P10" s="11">
        <v>94824</v>
      </c>
      <c r="Q10" s="9">
        <v>0</v>
      </c>
      <c r="R10" s="9">
        <v>0</v>
      </c>
      <c r="S10" s="10">
        <f>+P10+Q10+R10</f>
        <v>94824</v>
      </c>
      <c r="T10" s="11">
        <v>25172.66</v>
      </c>
      <c r="U10" s="11">
        <v>0</v>
      </c>
      <c r="V10" s="11">
        <v>19338.509491881738</v>
      </c>
      <c r="W10" s="11">
        <v>56368</v>
      </c>
      <c r="X10" s="10">
        <f>SUM(T10:W10)</f>
        <v>100879.16949188174</v>
      </c>
      <c r="Y10" s="13">
        <f>SUM(S10-X10)</f>
        <v>-6055.1694918817375</v>
      </c>
      <c r="Z10" s="13">
        <f>SUM(Y10*100/S10)</f>
        <v>-6.3856929594635723</v>
      </c>
    </row>
    <row r="11" spans="1:26" ht="15" x14ac:dyDescent="0.2">
      <c r="A11" s="4">
        <v>10</v>
      </c>
      <c r="B11" s="5" t="s">
        <v>82</v>
      </c>
      <c r="C11" s="34" t="s">
        <v>81</v>
      </c>
      <c r="D11" s="5">
        <v>2026</v>
      </c>
      <c r="E11" s="6" t="s">
        <v>18</v>
      </c>
      <c r="F11" s="17" t="s">
        <v>11</v>
      </c>
      <c r="G11" s="19">
        <v>45174</v>
      </c>
      <c r="H11" s="9">
        <v>44453</v>
      </c>
      <c r="I11" s="9">
        <v>49455</v>
      </c>
      <c r="J11" s="10">
        <f t="shared" si="6"/>
        <v>5002</v>
      </c>
      <c r="K11" s="9">
        <v>4990</v>
      </c>
      <c r="L11" s="9">
        <v>0</v>
      </c>
      <c r="M11" s="9">
        <v>0</v>
      </c>
      <c r="N11" s="10">
        <f t="shared" si="0"/>
        <v>4990</v>
      </c>
      <c r="O11" s="10">
        <f t="shared" si="1"/>
        <v>12</v>
      </c>
      <c r="P11" s="10">
        <v>135358.5</v>
      </c>
      <c r="Q11" s="9">
        <v>0</v>
      </c>
      <c r="R11" s="9">
        <v>0</v>
      </c>
      <c r="S11" s="10">
        <f t="shared" si="2"/>
        <v>135358.5</v>
      </c>
      <c r="T11" s="11">
        <v>39722.44</v>
      </c>
      <c r="U11" s="11">
        <v>16198.7</v>
      </c>
      <c r="V11" s="11">
        <v>27605.159422265187</v>
      </c>
      <c r="W11" s="12">
        <v>0</v>
      </c>
      <c r="X11" s="10">
        <f t="shared" si="3"/>
        <v>83526.299422265191</v>
      </c>
      <c r="Y11" s="13">
        <f t="shared" si="4"/>
        <v>51832.200577734809</v>
      </c>
      <c r="Z11" s="13">
        <f t="shared" si="5"/>
        <v>38.292534696923219</v>
      </c>
    </row>
    <row r="12" spans="1:26" ht="15" x14ac:dyDescent="0.2">
      <c r="A12" s="4">
        <v>11</v>
      </c>
      <c r="B12" s="5" t="s">
        <v>82</v>
      </c>
      <c r="C12" s="34" t="s">
        <v>81</v>
      </c>
      <c r="D12" s="5">
        <v>2026</v>
      </c>
      <c r="E12" s="6" t="s">
        <v>19</v>
      </c>
      <c r="F12" s="17" t="s">
        <v>11</v>
      </c>
      <c r="G12" s="19" t="s">
        <v>20</v>
      </c>
      <c r="H12" s="9">
        <v>59528</v>
      </c>
      <c r="I12" s="9">
        <v>62493</v>
      </c>
      <c r="J12" s="10">
        <f t="shared" si="6"/>
        <v>2965</v>
      </c>
      <c r="K12" s="9">
        <v>2939</v>
      </c>
      <c r="L12" s="9">
        <v>0</v>
      </c>
      <c r="M12" s="9">
        <v>0</v>
      </c>
      <c r="N12" s="10">
        <f t="shared" si="0"/>
        <v>2939</v>
      </c>
      <c r="O12" s="10">
        <f t="shared" si="1"/>
        <v>26</v>
      </c>
      <c r="P12" s="10">
        <v>84864</v>
      </c>
      <c r="Q12" s="9">
        <v>0</v>
      </c>
      <c r="R12" s="9">
        <v>0</v>
      </c>
      <c r="S12" s="10">
        <f t="shared" si="2"/>
        <v>84864</v>
      </c>
      <c r="T12" s="11">
        <v>31139.31</v>
      </c>
      <c r="U12" s="11">
        <v>33311.5</v>
      </c>
      <c r="V12" s="11">
        <v>17307.256280256599</v>
      </c>
      <c r="W12" s="12">
        <v>0</v>
      </c>
      <c r="X12" s="10">
        <f t="shared" si="3"/>
        <v>81758.066280256593</v>
      </c>
      <c r="Y12" s="13">
        <f t="shared" si="4"/>
        <v>3105.933719743407</v>
      </c>
      <c r="Z12" s="13">
        <f t="shared" si="5"/>
        <v>3.6598955030913074</v>
      </c>
    </row>
    <row r="13" spans="1:26" ht="15" x14ac:dyDescent="0.2">
      <c r="A13" s="4">
        <v>12</v>
      </c>
      <c r="B13" s="5" t="s">
        <v>82</v>
      </c>
      <c r="C13" s="34" t="s">
        <v>81</v>
      </c>
      <c r="D13" s="5">
        <v>2026</v>
      </c>
      <c r="E13" s="6" t="s">
        <v>21</v>
      </c>
      <c r="F13" s="17" t="s">
        <v>11</v>
      </c>
      <c r="G13" s="20">
        <v>44077</v>
      </c>
      <c r="H13" s="9">
        <v>132426</v>
      </c>
      <c r="I13" s="9">
        <v>132881</v>
      </c>
      <c r="J13" s="10">
        <f t="shared" ref="J13" si="7">+I13-H13</f>
        <v>455</v>
      </c>
      <c r="K13" s="9">
        <v>176</v>
      </c>
      <c r="L13" s="9">
        <v>0</v>
      </c>
      <c r="M13" s="9">
        <v>0</v>
      </c>
      <c r="N13" s="10">
        <f t="shared" ref="N13" si="8">+K13+L13+M13</f>
        <v>176</v>
      </c>
      <c r="O13" s="10">
        <f t="shared" ref="O13" si="9">+J13-N13</f>
        <v>279</v>
      </c>
      <c r="P13" s="10">
        <v>7854</v>
      </c>
      <c r="Q13" s="9">
        <v>0</v>
      </c>
      <c r="R13" s="9">
        <v>0</v>
      </c>
      <c r="S13" s="10">
        <f t="shared" ref="S13" si="10">+P13+Q13+R13</f>
        <v>7854</v>
      </c>
      <c r="T13" s="11">
        <v>3548.43</v>
      </c>
      <c r="U13" s="11">
        <v>1050</v>
      </c>
      <c r="V13" s="11">
        <v>1601.753285552594</v>
      </c>
      <c r="W13" s="12">
        <v>0</v>
      </c>
      <c r="X13" s="10">
        <f t="shared" ref="X13" si="11">SUM(T13:W13)</f>
        <v>6200.1832855525945</v>
      </c>
      <c r="Y13" s="13">
        <f t="shared" ref="Y13" si="12">SUM(S13-X13)</f>
        <v>1653.8167144474055</v>
      </c>
      <c r="Z13" s="13">
        <f t="shared" ref="Z13" si="13">SUM(Y13*100/S13)</f>
        <v>21.056999165360395</v>
      </c>
    </row>
    <row r="14" spans="1:26" ht="15" x14ac:dyDescent="0.2">
      <c r="A14" s="4">
        <v>13</v>
      </c>
      <c r="B14" s="5" t="s">
        <v>82</v>
      </c>
      <c r="C14" s="34" t="s">
        <v>81</v>
      </c>
      <c r="D14" s="5">
        <v>2026</v>
      </c>
      <c r="E14" s="21" t="s">
        <v>22</v>
      </c>
      <c r="F14" s="17" t="s">
        <v>11</v>
      </c>
      <c r="G14" s="20">
        <v>43899</v>
      </c>
      <c r="H14" s="9">
        <v>196121</v>
      </c>
      <c r="I14" s="9">
        <v>196904</v>
      </c>
      <c r="J14" s="10">
        <f t="shared" si="6"/>
        <v>783</v>
      </c>
      <c r="K14" s="9">
        <v>783</v>
      </c>
      <c r="L14" s="9">
        <v>0</v>
      </c>
      <c r="M14" s="9">
        <v>0</v>
      </c>
      <c r="N14" s="10">
        <f t="shared" si="0"/>
        <v>783</v>
      </c>
      <c r="O14" s="10">
        <f t="shared" si="1"/>
        <v>0</v>
      </c>
      <c r="P14" s="10">
        <v>27670</v>
      </c>
      <c r="Q14" s="9">
        <v>0</v>
      </c>
      <c r="R14" s="9">
        <v>0</v>
      </c>
      <c r="S14" s="10">
        <f t="shared" si="2"/>
        <v>27670</v>
      </c>
      <c r="T14" s="11">
        <v>4776.3</v>
      </c>
      <c r="U14" s="11">
        <v>8208.44</v>
      </c>
      <c r="V14" s="11">
        <v>5643.0498359103995</v>
      </c>
      <c r="W14" s="12">
        <v>0</v>
      </c>
      <c r="X14" s="10">
        <f t="shared" ref="X14:X19" si="14">SUM(T14:W14)</f>
        <v>18627.7898359104</v>
      </c>
      <c r="Y14" s="13">
        <f t="shared" si="4"/>
        <v>9042.2101640895999</v>
      </c>
      <c r="Z14" s="13">
        <f t="shared" si="5"/>
        <v>32.67875014127069</v>
      </c>
    </row>
    <row r="15" spans="1:26" ht="15" x14ac:dyDescent="0.2">
      <c r="A15" s="4">
        <v>14</v>
      </c>
      <c r="B15" s="5" t="s">
        <v>82</v>
      </c>
      <c r="C15" s="34" t="s">
        <v>81</v>
      </c>
      <c r="D15" s="5">
        <v>2026</v>
      </c>
      <c r="E15" s="21" t="s">
        <v>23</v>
      </c>
      <c r="F15" s="17" t="s">
        <v>11</v>
      </c>
      <c r="G15" s="20">
        <v>44470</v>
      </c>
      <c r="H15" s="9">
        <v>154283</v>
      </c>
      <c r="I15" s="9">
        <v>155792</v>
      </c>
      <c r="J15" s="10">
        <f t="shared" si="6"/>
        <v>1509</v>
      </c>
      <c r="K15" s="9">
        <v>1395</v>
      </c>
      <c r="L15" s="9">
        <v>0</v>
      </c>
      <c r="M15" s="9">
        <v>0</v>
      </c>
      <c r="N15" s="10">
        <f t="shared" si="0"/>
        <v>1395</v>
      </c>
      <c r="O15" s="10">
        <f t="shared" si="1"/>
        <v>114</v>
      </c>
      <c r="P15" s="10">
        <v>49480.5</v>
      </c>
      <c r="Q15" s="9">
        <v>0</v>
      </c>
      <c r="R15" s="9">
        <v>0</v>
      </c>
      <c r="S15" s="10">
        <v>49840.5</v>
      </c>
      <c r="T15" s="11">
        <v>12317.22</v>
      </c>
      <c r="U15" s="11">
        <v>0</v>
      </c>
      <c r="V15" s="11">
        <v>10164.525672088625</v>
      </c>
      <c r="W15" s="12">
        <v>0</v>
      </c>
      <c r="X15" s="10">
        <f t="shared" si="14"/>
        <v>22481.745672088626</v>
      </c>
      <c r="Y15" s="13">
        <f t="shared" si="4"/>
        <v>27358.754327911374</v>
      </c>
      <c r="Z15" s="13">
        <f t="shared" si="5"/>
        <v>54.892616101185531</v>
      </c>
    </row>
    <row r="16" spans="1:26" ht="15" x14ac:dyDescent="0.2">
      <c r="A16" s="4">
        <v>15</v>
      </c>
      <c r="B16" s="5" t="s">
        <v>82</v>
      </c>
      <c r="C16" s="34" t="s">
        <v>81</v>
      </c>
      <c r="D16" s="5">
        <v>2026</v>
      </c>
      <c r="E16" s="21" t="s">
        <v>24</v>
      </c>
      <c r="F16" s="17" t="s">
        <v>11</v>
      </c>
      <c r="G16" s="8" t="s">
        <v>25</v>
      </c>
      <c r="H16" s="9">
        <v>171690</v>
      </c>
      <c r="I16" s="9">
        <v>178168</v>
      </c>
      <c r="J16" s="10">
        <f t="shared" si="6"/>
        <v>6478</v>
      </c>
      <c r="K16" s="9">
        <v>6345</v>
      </c>
      <c r="L16" s="9">
        <v>0</v>
      </c>
      <c r="M16" s="9">
        <v>0</v>
      </c>
      <c r="N16" s="10">
        <f t="shared" si="0"/>
        <v>6345</v>
      </c>
      <c r="O16" s="10">
        <f t="shared" si="1"/>
        <v>133</v>
      </c>
      <c r="P16" s="10">
        <v>178461</v>
      </c>
      <c r="Q16" s="9">
        <v>0</v>
      </c>
      <c r="R16" s="9">
        <v>0</v>
      </c>
      <c r="S16" s="10">
        <f t="shared" si="2"/>
        <v>178461</v>
      </c>
      <c r="T16" s="11">
        <v>53994.59</v>
      </c>
      <c r="U16" s="11">
        <v>0</v>
      </c>
      <c r="V16" s="11">
        <v>36395.530060224279</v>
      </c>
      <c r="W16" s="12">
        <v>0</v>
      </c>
      <c r="X16" s="10">
        <f t="shared" si="14"/>
        <v>90390.120060224275</v>
      </c>
      <c r="Y16" s="13">
        <f t="shared" si="4"/>
        <v>88070.879939775725</v>
      </c>
      <c r="Z16" s="13">
        <f t="shared" si="5"/>
        <v>49.350210936717673</v>
      </c>
    </row>
    <row r="17" spans="1:26" ht="15" x14ac:dyDescent="0.2">
      <c r="A17" s="4">
        <v>16</v>
      </c>
      <c r="B17" s="5" t="s">
        <v>82</v>
      </c>
      <c r="C17" s="34" t="s">
        <v>81</v>
      </c>
      <c r="D17" s="5">
        <v>2026</v>
      </c>
      <c r="E17" s="21" t="s">
        <v>26</v>
      </c>
      <c r="F17" s="17" t="s">
        <v>11</v>
      </c>
      <c r="G17" s="22">
        <v>44746</v>
      </c>
      <c r="H17" s="9">
        <v>80169</v>
      </c>
      <c r="I17" s="9">
        <v>84929</v>
      </c>
      <c r="J17" s="10">
        <f>+I17-H17</f>
        <v>4760</v>
      </c>
      <c r="K17" s="9">
        <v>4682</v>
      </c>
      <c r="L17" s="9">
        <v>0</v>
      </c>
      <c r="M17" s="9">
        <v>0</v>
      </c>
      <c r="N17" s="23">
        <f>+K17+L17+M17</f>
        <v>4682</v>
      </c>
      <c r="O17" s="10">
        <f>+J17-N17</f>
        <v>78</v>
      </c>
      <c r="P17" s="10">
        <v>128288</v>
      </c>
      <c r="Q17" s="9">
        <v>0</v>
      </c>
      <c r="R17" s="9">
        <v>0</v>
      </c>
      <c r="S17" s="10">
        <f>+P17+Q17+R17</f>
        <v>128288</v>
      </c>
      <c r="T17" s="11">
        <v>37858.339999999997</v>
      </c>
      <c r="U17" s="11">
        <v>25104.16</v>
      </c>
      <c r="V17" s="11">
        <v>26163.193977205396</v>
      </c>
      <c r="W17" s="12">
        <v>0</v>
      </c>
      <c r="X17" s="10">
        <f t="shared" si="14"/>
        <v>89125.693977205403</v>
      </c>
      <c r="Y17" s="13">
        <f>SUM(S17-X17)</f>
        <v>39162.306022794597</v>
      </c>
      <c r="Z17" s="13">
        <f>SUM(Y17*100/S17)</f>
        <v>30.526866131512374</v>
      </c>
    </row>
    <row r="18" spans="1:26" ht="15" x14ac:dyDescent="0.2">
      <c r="A18" s="4">
        <v>17</v>
      </c>
      <c r="B18" s="5" t="s">
        <v>82</v>
      </c>
      <c r="C18" s="34" t="s">
        <v>81</v>
      </c>
      <c r="D18" s="5">
        <v>2026</v>
      </c>
      <c r="E18" s="21" t="s">
        <v>27</v>
      </c>
      <c r="F18" s="17" t="s">
        <v>11</v>
      </c>
      <c r="G18" s="15" t="s">
        <v>28</v>
      </c>
      <c r="H18" s="9">
        <v>125089</v>
      </c>
      <c r="I18" s="9">
        <v>130488</v>
      </c>
      <c r="J18" s="10">
        <f t="shared" si="6"/>
        <v>5399</v>
      </c>
      <c r="K18" s="9">
        <v>5268</v>
      </c>
      <c r="L18" s="9">
        <v>0</v>
      </c>
      <c r="M18" s="9">
        <v>0</v>
      </c>
      <c r="N18" s="10">
        <f>+K18+L19+M18</f>
        <v>5268</v>
      </c>
      <c r="O18" s="10">
        <f t="shared" si="1"/>
        <v>131</v>
      </c>
      <c r="P18" s="11">
        <v>149215</v>
      </c>
      <c r="Q18" s="9">
        <v>0</v>
      </c>
      <c r="R18" s="9">
        <v>0</v>
      </c>
      <c r="S18" s="10">
        <f t="shared" si="2"/>
        <v>149215</v>
      </c>
      <c r="T18" s="11">
        <v>38207.519999999997</v>
      </c>
      <c r="U18" s="11">
        <v>0</v>
      </c>
      <c r="V18" s="11">
        <v>30431.069073558734</v>
      </c>
      <c r="W18" s="12">
        <v>0</v>
      </c>
      <c r="X18" s="10">
        <f t="shared" si="14"/>
        <v>68638.589073558731</v>
      </c>
      <c r="Y18" s="13">
        <f t="shared" si="4"/>
        <v>80576.410926441269</v>
      </c>
      <c r="Z18" s="13">
        <f t="shared" si="5"/>
        <v>54.000208374788912</v>
      </c>
    </row>
    <row r="19" spans="1:26" ht="15" x14ac:dyDescent="0.2">
      <c r="A19" s="4">
        <v>18</v>
      </c>
      <c r="B19" s="5" t="s">
        <v>82</v>
      </c>
      <c r="C19" s="34" t="s">
        <v>81</v>
      </c>
      <c r="D19" s="5">
        <v>2026</v>
      </c>
      <c r="E19" s="21" t="s">
        <v>29</v>
      </c>
      <c r="F19" s="17" t="s">
        <v>11</v>
      </c>
      <c r="G19" s="8" t="s">
        <v>30</v>
      </c>
      <c r="H19" s="9">
        <v>187590</v>
      </c>
      <c r="I19" s="9">
        <v>193581</v>
      </c>
      <c r="J19" s="10">
        <f t="shared" si="6"/>
        <v>5991</v>
      </c>
      <c r="K19" s="9">
        <v>5990</v>
      </c>
      <c r="L19" s="9">
        <v>0</v>
      </c>
      <c r="M19" s="9">
        <v>0</v>
      </c>
      <c r="N19" s="10">
        <f>+K19+L22+M19</f>
        <v>5990</v>
      </c>
      <c r="O19" s="10">
        <f>+J19-N19</f>
        <v>1</v>
      </c>
      <c r="P19" s="11">
        <v>156710</v>
      </c>
      <c r="Q19" s="9">
        <v>0</v>
      </c>
      <c r="R19" s="9">
        <v>0</v>
      </c>
      <c r="S19" s="10">
        <f>+P19+Q19+R19</f>
        <v>156710</v>
      </c>
      <c r="T19" s="11">
        <v>40609.75</v>
      </c>
      <c r="U19" s="11">
        <v>0</v>
      </c>
      <c r="V19" s="11">
        <v>31959.607509415204</v>
      </c>
      <c r="W19" s="12">
        <v>54060</v>
      </c>
      <c r="X19" s="10">
        <f t="shared" si="14"/>
        <v>126629.3575094152</v>
      </c>
      <c r="Y19" s="13">
        <f>SUM(S19-X19)</f>
        <v>30080.642490584796</v>
      </c>
      <c r="Z19" s="13">
        <f>SUM(Y19*100/S19)</f>
        <v>19.195100817168523</v>
      </c>
    </row>
    <row r="20" spans="1:26" ht="15" x14ac:dyDescent="0.2">
      <c r="A20" s="4">
        <v>19</v>
      </c>
      <c r="B20" s="5" t="s">
        <v>82</v>
      </c>
      <c r="C20" s="34" t="s">
        <v>81</v>
      </c>
      <c r="D20" s="5">
        <v>2026</v>
      </c>
      <c r="E20" s="21" t="s">
        <v>31</v>
      </c>
      <c r="F20" s="17" t="s">
        <v>11</v>
      </c>
      <c r="G20" s="8" t="s">
        <v>32</v>
      </c>
      <c r="H20" s="9">
        <v>52775</v>
      </c>
      <c r="I20" s="9">
        <v>56922</v>
      </c>
      <c r="J20" s="10">
        <f t="shared" si="6"/>
        <v>4147</v>
      </c>
      <c r="K20" s="9">
        <v>4089</v>
      </c>
      <c r="L20" s="9">
        <v>0</v>
      </c>
      <c r="M20" s="9">
        <v>0</v>
      </c>
      <c r="N20" s="10">
        <f>+K20+L22+M20</f>
        <v>4089</v>
      </c>
      <c r="O20" s="10">
        <f t="shared" ref="O20:O21" si="15">+J20-N20</f>
        <v>58</v>
      </c>
      <c r="P20" s="11">
        <v>103568</v>
      </c>
      <c r="Q20" s="9">
        <v>0</v>
      </c>
      <c r="R20" s="9">
        <v>0</v>
      </c>
      <c r="S20" s="10">
        <f t="shared" ref="S20:S21" si="16">+P20+Q20+R20</f>
        <v>103568</v>
      </c>
      <c r="T20" s="11">
        <v>35802.07</v>
      </c>
      <c r="U20" s="11">
        <v>1050</v>
      </c>
      <c r="V20" s="11">
        <v>21121.770343533364</v>
      </c>
      <c r="W20" s="12">
        <v>53263</v>
      </c>
      <c r="X20" s="10">
        <f t="shared" ref="X20:X21" si="17">SUM(T20:W20)</f>
        <v>111236.84034353336</v>
      </c>
      <c r="Y20" s="13">
        <f t="shared" ref="Y20:Y21" si="18">SUM(S20-X20)</f>
        <v>-7668.8403435333603</v>
      </c>
      <c r="Z20" s="13">
        <f t="shared" ref="Z20:Z21" si="19">SUM(Y20*100/S20)</f>
        <v>-7.4046426922730584</v>
      </c>
    </row>
    <row r="21" spans="1:26" ht="15" x14ac:dyDescent="0.2">
      <c r="A21" s="4">
        <v>20</v>
      </c>
      <c r="B21" s="5" t="s">
        <v>82</v>
      </c>
      <c r="C21" s="34" t="s">
        <v>81</v>
      </c>
      <c r="D21" s="5">
        <v>2026</v>
      </c>
      <c r="E21" s="21" t="s">
        <v>33</v>
      </c>
      <c r="F21" s="17" t="s">
        <v>11</v>
      </c>
      <c r="G21" s="8" t="s">
        <v>32</v>
      </c>
      <c r="H21" s="9">
        <v>56629</v>
      </c>
      <c r="I21" s="9">
        <v>61227</v>
      </c>
      <c r="J21" s="10">
        <f t="shared" si="6"/>
        <v>4598</v>
      </c>
      <c r="K21" s="9">
        <v>4550</v>
      </c>
      <c r="L21" s="9">
        <v>0</v>
      </c>
      <c r="M21" s="9">
        <v>0</v>
      </c>
      <c r="N21" s="10">
        <f>+K21+L23+M21</f>
        <v>4550</v>
      </c>
      <c r="O21" s="10">
        <f t="shared" si="15"/>
        <v>48</v>
      </c>
      <c r="P21" s="11">
        <v>123883</v>
      </c>
      <c r="Q21" s="9">
        <v>0</v>
      </c>
      <c r="R21" s="9">
        <v>0</v>
      </c>
      <c r="S21" s="10">
        <f t="shared" si="16"/>
        <v>123883</v>
      </c>
      <c r="T21" s="11">
        <v>39898.74</v>
      </c>
      <c r="U21" s="11">
        <v>0</v>
      </c>
      <c r="V21" s="11">
        <v>25264.833495557934</v>
      </c>
      <c r="W21" s="12">
        <v>56263</v>
      </c>
      <c r="X21" s="10">
        <f t="shared" si="17"/>
        <v>121426.57349555794</v>
      </c>
      <c r="Y21" s="13">
        <f t="shared" si="18"/>
        <v>2456.4265044420608</v>
      </c>
      <c r="Z21" s="13">
        <f t="shared" si="19"/>
        <v>1.982860040878943</v>
      </c>
    </row>
    <row r="22" spans="1:26" ht="15" x14ac:dyDescent="0.2">
      <c r="A22" s="4">
        <v>21</v>
      </c>
      <c r="B22" s="5" t="s">
        <v>82</v>
      </c>
      <c r="C22" s="34" t="s">
        <v>81</v>
      </c>
      <c r="D22" s="5">
        <v>2026</v>
      </c>
      <c r="E22" s="24" t="s">
        <v>34</v>
      </c>
      <c r="F22" s="17" t="s">
        <v>11</v>
      </c>
      <c r="G22" s="8" t="s">
        <v>35</v>
      </c>
      <c r="H22" s="9">
        <v>85340</v>
      </c>
      <c r="I22" s="9">
        <v>91805</v>
      </c>
      <c r="J22" s="10">
        <f t="shared" si="6"/>
        <v>6465</v>
      </c>
      <c r="K22" s="9">
        <v>6465</v>
      </c>
      <c r="L22" s="9">
        <v>0</v>
      </c>
      <c r="M22" s="9">
        <v>0</v>
      </c>
      <c r="N22" s="10">
        <f t="shared" ref="N22" si="20">+K22+L23+M22</f>
        <v>6465</v>
      </c>
      <c r="O22" s="10">
        <f t="shared" si="1"/>
        <v>0</v>
      </c>
      <c r="P22" s="10">
        <v>165485.5</v>
      </c>
      <c r="Q22" s="9">
        <v>0</v>
      </c>
      <c r="R22" s="9">
        <v>0</v>
      </c>
      <c r="S22" s="10">
        <f t="shared" si="2"/>
        <v>165485.5</v>
      </c>
      <c r="T22" s="11">
        <v>47283.17</v>
      </c>
      <c r="U22" s="11">
        <v>11347.46</v>
      </c>
      <c r="V22" s="11">
        <v>33749.292505260222</v>
      </c>
      <c r="W22" s="12">
        <v>48225</v>
      </c>
      <c r="X22" s="10">
        <f>SUM(T22:W22)</f>
        <v>140604.92250526021</v>
      </c>
      <c r="Y22" s="13">
        <f t="shared" si="4"/>
        <v>24880.577494739788</v>
      </c>
      <c r="Z22" s="13">
        <f t="shared" si="5"/>
        <v>15.03489882481534</v>
      </c>
    </row>
    <row r="23" spans="1:26" ht="15" x14ac:dyDescent="0.2">
      <c r="A23" s="4">
        <v>22</v>
      </c>
      <c r="B23" s="5" t="s">
        <v>82</v>
      </c>
      <c r="C23" s="34" t="s">
        <v>81</v>
      </c>
      <c r="D23" s="5">
        <v>2026</v>
      </c>
      <c r="E23" s="24" t="s">
        <v>36</v>
      </c>
      <c r="F23" s="33" t="s">
        <v>78</v>
      </c>
      <c r="G23" s="8" t="s">
        <v>37</v>
      </c>
      <c r="H23" s="9">
        <v>39254</v>
      </c>
      <c r="I23" s="9">
        <v>40796</v>
      </c>
      <c r="J23" s="10">
        <f t="shared" si="6"/>
        <v>1542</v>
      </c>
      <c r="K23" s="9">
        <v>1275</v>
      </c>
      <c r="L23" s="9">
        <v>0</v>
      </c>
      <c r="M23" s="9">
        <v>0</v>
      </c>
      <c r="N23" s="10">
        <f>+K23+L23+M23</f>
        <v>1275</v>
      </c>
      <c r="O23" s="10">
        <f>+J23-N23</f>
        <v>267</v>
      </c>
      <c r="P23" s="10">
        <v>36431</v>
      </c>
      <c r="Q23" s="9">
        <v>0</v>
      </c>
      <c r="R23" s="9">
        <v>0</v>
      </c>
      <c r="S23" s="10">
        <f>+P23+Q23+R23</f>
        <v>36431</v>
      </c>
      <c r="T23" s="11">
        <v>2830.51</v>
      </c>
      <c r="U23" s="11">
        <v>8146.03</v>
      </c>
      <c r="V23" s="11">
        <v>7429.7776860156036</v>
      </c>
      <c r="W23" s="25">
        <v>32250</v>
      </c>
      <c r="X23" s="10">
        <f>SUM(T23:W23)</f>
        <v>50656.317686015609</v>
      </c>
      <c r="Y23" s="13">
        <f>SUM(S23-X23)</f>
        <v>-14225.317686015609</v>
      </c>
      <c r="Z23" s="13">
        <f>SUM(Y23*100/S23)</f>
        <v>-39.047288534532704</v>
      </c>
    </row>
    <row r="24" spans="1:26" ht="15" x14ac:dyDescent="0.2">
      <c r="A24" s="4">
        <v>23</v>
      </c>
      <c r="B24" s="5" t="s">
        <v>82</v>
      </c>
      <c r="C24" s="34" t="s">
        <v>81</v>
      </c>
      <c r="D24" s="5">
        <v>2026</v>
      </c>
      <c r="E24" s="24" t="s">
        <v>38</v>
      </c>
      <c r="F24" s="33" t="s">
        <v>78</v>
      </c>
      <c r="G24" s="8" t="s">
        <v>37</v>
      </c>
      <c r="H24" s="26">
        <v>35494</v>
      </c>
      <c r="I24" s="26">
        <v>36496</v>
      </c>
      <c r="J24" s="10">
        <f t="shared" si="6"/>
        <v>1002</v>
      </c>
      <c r="K24" s="9">
        <v>860</v>
      </c>
      <c r="L24" s="9">
        <v>0</v>
      </c>
      <c r="M24" s="9">
        <v>0</v>
      </c>
      <c r="N24" s="10">
        <f>+K24+L24+M24</f>
        <v>860</v>
      </c>
      <c r="O24" s="23">
        <f>+J24-N24</f>
        <v>142</v>
      </c>
      <c r="P24" s="10">
        <v>22970</v>
      </c>
      <c r="Q24" s="9">
        <v>0</v>
      </c>
      <c r="R24" s="9">
        <v>0</v>
      </c>
      <c r="S24" s="10">
        <f>+P24+Q24+R24</f>
        <v>22970</v>
      </c>
      <c r="T24" s="11">
        <v>2610.48</v>
      </c>
      <c r="U24" s="11">
        <v>1700</v>
      </c>
      <c r="V24" s="11">
        <v>4684.5267340390992</v>
      </c>
      <c r="W24" s="25">
        <v>32250</v>
      </c>
      <c r="X24" s="10">
        <f>SUM(T24:W24)</f>
        <v>41245.006734039096</v>
      </c>
      <c r="Y24" s="13">
        <f>SUM(S24-X24)</f>
        <v>-18275.006734039096</v>
      </c>
      <c r="Z24" s="13">
        <f>SUM(Y24*100/S24)</f>
        <v>-79.560325354980833</v>
      </c>
    </row>
    <row r="25" spans="1:26" ht="15" x14ac:dyDescent="0.2">
      <c r="A25" s="4">
        <v>24</v>
      </c>
      <c r="B25" s="5" t="s">
        <v>82</v>
      </c>
      <c r="C25" s="34" t="s">
        <v>81</v>
      </c>
      <c r="D25" s="5">
        <v>2026</v>
      </c>
      <c r="E25" s="21" t="s">
        <v>39</v>
      </c>
      <c r="F25" s="17" t="s">
        <v>40</v>
      </c>
      <c r="G25" s="27" t="s">
        <v>41</v>
      </c>
      <c r="H25" s="9">
        <v>88263</v>
      </c>
      <c r="I25" s="9">
        <v>89785</v>
      </c>
      <c r="J25" s="10">
        <f t="shared" si="6"/>
        <v>1522</v>
      </c>
      <c r="K25" s="9">
        <v>194</v>
      </c>
      <c r="L25" s="9">
        <v>0</v>
      </c>
      <c r="M25" s="9">
        <v>981</v>
      </c>
      <c r="N25" s="23">
        <f t="shared" si="0"/>
        <v>1175</v>
      </c>
      <c r="O25" s="10">
        <f t="shared" si="1"/>
        <v>347</v>
      </c>
      <c r="P25" s="10">
        <v>10550</v>
      </c>
      <c r="Q25" s="9">
        <v>0</v>
      </c>
      <c r="R25" s="11">
        <v>112805</v>
      </c>
      <c r="S25" s="10">
        <f t="shared" si="2"/>
        <v>123355</v>
      </c>
      <c r="T25" s="11">
        <v>13479.94</v>
      </c>
      <c r="U25" s="11">
        <v>0</v>
      </c>
      <c r="V25" s="11">
        <v>25157.152602411541</v>
      </c>
      <c r="W25" s="11">
        <v>0</v>
      </c>
      <c r="X25" s="10">
        <f>SUM(T25:W25)</f>
        <v>38637.09260241154</v>
      </c>
      <c r="Y25" s="13">
        <f t="shared" si="4"/>
        <v>84717.907397588453</v>
      </c>
      <c r="Z25" s="13">
        <f t="shared" si="5"/>
        <v>68.678130110322613</v>
      </c>
    </row>
    <row r="26" spans="1:26" ht="15" x14ac:dyDescent="0.2">
      <c r="A26" s="4">
        <v>25</v>
      </c>
      <c r="B26" s="5" t="s">
        <v>82</v>
      </c>
      <c r="C26" s="34" t="s">
        <v>81</v>
      </c>
      <c r="D26" s="5">
        <v>2026</v>
      </c>
      <c r="E26" s="21" t="s">
        <v>42</v>
      </c>
      <c r="F26" s="17" t="s">
        <v>77</v>
      </c>
      <c r="G26" s="27" t="s">
        <v>43</v>
      </c>
      <c r="H26" s="9">
        <v>105820</v>
      </c>
      <c r="I26" s="9">
        <v>111506</v>
      </c>
      <c r="J26" s="10">
        <f t="shared" si="6"/>
        <v>5686</v>
      </c>
      <c r="K26" s="9">
        <v>5669</v>
      </c>
      <c r="L26" s="9">
        <v>0</v>
      </c>
      <c r="M26" s="9">
        <v>0</v>
      </c>
      <c r="N26" s="23">
        <f t="shared" si="0"/>
        <v>5669</v>
      </c>
      <c r="O26" s="10">
        <f t="shared" si="1"/>
        <v>17</v>
      </c>
      <c r="P26" s="10">
        <v>163961</v>
      </c>
      <c r="Q26" s="9">
        <v>0</v>
      </c>
      <c r="R26" s="11">
        <v>0</v>
      </c>
      <c r="S26" s="10">
        <v>163931</v>
      </c>
      <c r="T26" s="11">
        <v>38509.46</v>
      </c>
      <c r="U26" s="11">
        <v>7164.48</v>
      </c>
      <c r="V26" s="11">
        <v>33432.266087843425</v>
      </c>
      <c r="W26" s="12">
        <v>59521</v>
      </c>
      <c r="X26" s="10">
        <f>SUM(T26:W26)</f>
        <v>138627.20608784343</v>
      </c>
      <c r="Y26" s="13">
        <f t="shared" si="4"/>
        <v>25303.793912156572</v>
      </c>
      <c r="Z26" s="13">
        <f t="shared" si="5"/>
        <v>15.435636891226537</v>
      </c>
    </row>
    <row r="27" spans="1:26" ht="15" x14ac:dyDescent="0.2">
      <c r="A27" s="4">
        <v>26</v>
      </c>
      <c r="B27" s="5" t="s">
        <v>82</v>
      </c>
      <c r="C27" s="34" t="s">
        <v>81</v>
      </c>
      <c r="D27" s="5">
        <v>2026</v>
      </c>
      <c r="E27" s="28" t="s">
        <v>44</v>
      </c>
      <c r="F27" s="17" t="s">
        <v>76</v>
      </c>
      <c r="G27" s="9" t="s">
        <v>45</v>
      </c>
      <c r="H27" s="9">
        <v>3224</v>
      </c>
      <c r="I27" s="9">
        <v>7602</v>
      </c>
      <c r="J27" s="10">
        <f t="shared" ref="J27:J31" si="21">+I27-H27</f>
        <v>4378</v>
      </c>
      <c r="K27" s="9">
        <v>0</v>
      </c>
      <c r="L27" s="9">
        <v>0</v>
      </c>
      <c r="M27" s="9">
        <v>4378</v>
      </c>
      <c r="N27" s="23">
        <f t="shared" ref="N27:N31" si="22">+K27+L27+M27</f>
        <v>4378</v>
      </c>
      <c r="O27" s="10">
        <f t="shared" ref="O27:O31" si="23">+J27-N27</f>
        <v>0</v>
      </c>
      <c r="P27" s="10">
        <v>0</v>
      </c>
      <c r="Q27" s="9">
        <v>0</v>
      </c>
      <c r="R27" s="11">
        <v>111090</v>
      </c>
      <c r="S27" s="10">
        <f t="shared" ref="S27:S31" si="24">+P27+Q27+R27</f>
        <v>111090</v>
      </c>
      <c r="T27" s="11">
        <v>32836.449999999997</v>
      </c>
      <c r="U27" s="11">
        <v>0</v>
      </c>
      <c r="V27" s="11">
        <v>24314.559512256867</v>
      </c>
      <c r="W27" s="12">
        <v>17238</v>
      </c>
      <c r="X27" s="10">
        <f t="shared" ref="X27:X31" si="25">SUM(T27:W27)</f>
        <v>74389.00951225686</v>
      </c>
      <c r="Y27" s="13">
        <f t="shared" ref="Y27:Y31" si="26">SUM(S27-X27)</f>
        <v>36700.99048774314</v>
      </c>
      <c r="Z27" s="13">
        <f t="shared" ref="Z27:Z31" si="27">SUM(Y27*100/S27)</f>
        <v>33.037168500984016</v>
      </c>
    </row>
    <row r="28" spans="1:26" ht="15" x14ac:dyDescent="0.2">
      <c r="A28" s="4">
        <v>27</v>
      </c>
      <c r="B28" s="5" t="s">
        <v>82</v>
      </c>
      <c r="C28" s="34" t="s">
        <v>81</v>
      </c>
      <c r="D28" s="5">
        <v>2026</v>
      </c>
      <c r="E28" s="28" t="s">
        <v>46</v>
      </c>
      <c r="F28" s="17" t="s">
        <v>76</v>
      </c>
      <c r="G28" s="9" t="s">
        <v>47</v>
      </c>
      <c r="H28" s="9">
        <v>3388</v>
      </c>
      <c r="I28" s="9">
        <v>8072</v>
      </c>
      <c r="J28" s="10">
        <f t="shared" si="21"/>
        <v>4684</v>
      </c>
      <c r="K28" s="9">
        <v>0</v>
      </c>
      <c r="L28" s="9">
        <v>0</v>
      </c>
      <c r="M28" s="9">
        <v>4684</v>
      </c>
      <c r="N28" s="23">
        <f t="shared" si="22"/>
        <v>4684</v>
      </c>
      <c r="O28" s="10">
        <f t="shared" si="23"/>
        <v>0</v>
      </c>
      <c r="P28" s="10">
        <v>0</v>
      </c>
      <c r="Q28" s="9">
        <v>0</v>
      </c>
      <c r="R28" s="11">
        <v>115986</v>
      </c>
      <c r="S28" s="10">
        <f t="shared" si="24"/>
        <v>115986</v>
      </c>
      <c r="T28" s="11">
        <v>40201.1</v>
      </c>
      <c r="U28" s="11">
        <v>0</v>
      </c>
      <c r="V28" s="11">
        <v>25386.159866672293</v>
      </c>
      <c r="W28" s="12">
        <v>17588</v>
      </c>
      <c r="X28" s="10">
        <f t="shared" si="25"/>
        <v>83175.259866672292</v>
      </c>
      <c r="Y28" s="13">
        <f t="shared" si="26"/>
        <v>32810.740133327708</v>
      </c>
      <c r="Z28" s="13">
        <f t="shared" si="27"/>
        <v>28.288534938119867</v>
      </c>
    </row>
    <row r="29" spans="1:26" ht="15" x14ac:dyDescent="0.2">
      <c r="A29" s="4">
        <v>28</v>
      </c>
      <c r="B29" s="5" t="s">
        <v>82</v>
      </c>
      <c r="C29" s="34" t="s">
        <v>81</v>
      </c>
      <c r="D29" s="5">
        <v>2026</v>
      </c>
      <c r="E29" s="28" t="s">
        <v>48</v>
      </c>
      <c r="F29" s="17" t="s">
        <v>76</v>
      </c>
      <c r="G29" s="29" t="s">
        <v>49</v>
      </c>
      <c r="H29" s="9">
        <v>115</v>
      </c>
      <c r="I29" s="9">
        <v>4617</v>
      </c>
      <c r="J29" s="10">
        <f t="shared" ref="J29" si="28">+I29-H29</f>
        <v>4502</v>
      </c>
      <c r="K29" s="9">
        <v>0</v>
      </c>
      <c r="L29" s="9">
        <v>0</v>
      </c>
      <c r="M29" s="9">
        <v>4502</v>
      </c>
      <c r="N29" s="23">
        <f t="shared" ref="N29" si="29">+K29+L29+M29</f>
        <v>4502</v>
      </c>
      <c r="O29" s="10">
        <f t="shared" ref="O29" si="30">+J29-N29</f>
        <v>0</v>
      </c>
      <c r="P29" s="10">
        <v>0</v>
      </c>
      <c r="Q29" s="9">
        <v>0</v>
      </c>
      <c r="R29" s="11">
        <v>115687</v>
      </c>
      <c r="S29" s="10">
        <f t="shared" ref="S29" si="31">+P29+Q29+R29</f>
        <v>115687</v>
      </c>
      <c r="T29" s="11">
        <v>32532.5</v>
      </c>
      <c r="U29" s="11">
        <v>0</v>
      </c>
      <c r="V29" s="11">
        <v>25320.716952871186</v>
      </c>
      <c r="W29" s="12">
        <v>17590</v>
      </c>
      <c r="X29" s="10">
        <f t="shared" ref="X29" si="32">SUM(T29:W29)</f>
        <v>75443.216952871182</v>
      </c>
      <c r="Y29" s="13">
        <f t="shared" ref="Y29" si="33">SUM(S29-X29)</f>
        <v>40243.783047128818</v>
      </c>
      <c r="Z29" s="13">
        <f t="shared" ref="Z29" si="34">SUM(Y29*100/S29)</f>
        <v>34.786780750757494</v>
      </c>
    </row>
    <row r="30" spans="1:26" ht="15" x14ac:dyDescent="0.2">
      <c r="A30" s="4">
        <v>29</v>
      </c>
      <c r="B30" s="5" t="s">
        <v>82</v>
      </c>
      <c r="C30" s="34" t="s">
        <v>81</v>
      </c>
      <c r="D30" s="5">
        <v>2026</v>
      </c>
      <c r="E30" s="30" t="s">
        <v>50</v>
      </c>
      <c r="F30" s="17" t="s">
        <v>80</v>
      </c>
      <c r="G30" s="29" t="s">
        <v>45</v>
      </c>
      <c r="H30" s="9">
        <v>6167</v>
      </c>
      <c r="I30" s="9">
        <v>11336</v>
      </c>
      <c r="J30" s="10">
        <f t="shared" si="21"/>
        <v>5169</v>
      </c>
      <c r="K30" s="9">
        <v>0</v>
      </c>
      <c r="L30" s="9">
        <v>0</v>
      </c>
      <c r="M30" s="9">
        <v>5169</v>
      </c>
      <c r="N30" s="23">
        <f t="shared" si="22"/>
        <v>5169</v>
      </c>
      <c r="O30" s="10">
        <f t="shared" si="23"/>
        <v>0</v>
      </c>
      <c r="P30" s="10">
        <v>0</v>
      </c>
      <c r="Q30" s="9">
        <v>0</v>
      </c>
      <c r="R30" s="11">
        <v>173906</v>
      </c>
      <c r="S30" s="10">
        <f t="shared" si="24"/>
        <v>173906</v>
      </c>
      <c r="T30" s="11">
        <v>67550.850000000006</v>
      </c>
      <c r="U30" s="11">
        <f>4856+1576.2</f>
        <v>6432.2</v>
      </c>
      <c r="V30" s="11">
        <v>38063.262098645624</v>
      </c>
      <c r="W30" s="12">
        <v>40030</v>
      </c>
      <c r="X30" s="10">
        <f t="shared" si="25"/>
        <v>152076.31209864563</v>
      </c>
      <c r="Y30" s="13">
        <f t="shared" si="26"/>
        <v>21829.687901354366</v>
      </c>
      <c r="Z30" s="13">
        <f t="shared" si="27"/>
        <v>12.552578922725131</v>
      </c>
    </row>
    <row r="31" spans="1:26" ht="15" x14ac:dyDescent="0.2">
      <c r="A31" s="4">
        <v>30</v>
      </c>
      <c r="B31" s="5" t="s">
        <v>82</v>
      </c>
      <c r="C31" s="34" t="s">
        <v>81</v>
      </c>
      <c r="D31" s="5">
        <v>2026</v>
      </c>
      <c r="E31" s="30" t="s">
        <v>51</v>
      </c>
      <c r="F31" s="17" t="s">
        <v>80</v>
      </c>
      <c r="G31" s="29" t="s">
        <v>52</v>
      </c>
      <c r="H31" s="9">
        <v>13900</v>
      </c>
      <c r="I31" s="9">
        <v>24066</v>
      </c>
      <c r="J31" s="10">
        <f t="shared" si="21"/>
        <v>10166</v>
      </c>
      <c r="K31" s="9">
        <v>0</v>
      </c>
      <c r="L31" s="9">
        <v>0</v>
      </c>
      <c r="M31" s="9">
        <v>9510</v>
      </c>
      <c r="N31" s="23">
        <f t="shared" si="22"/>
        <v>9510</v>
      </c>
      <c r="O31" s="10">
        <f t="shared" si="23"/>
        <v>656</v>
      </c>
      <c r="P31" s="10">
        <v>0</v>
      </c>
      <c r="Q31" s="9">
        <v>0</v>
      </c>
      <c r="R31" s="11">
        <v>241763</v>
      </c>
      <c r="S31" s="10">
        <f t="shared" si="24"/>
        <v>241763</v>
      </c>
      <c r="T31" s="11">
        <v>95810.28</v>
      </c>
      <c r="U31" s="11">
        <f>3000+1576.2</f>
        <v>4576.2</v>
      </c>
      <c r="V31" s="11">
        <v>52915.301569554031</v>
      </c>
      <c r="W31" s="12">
        <v>40030</v>
      </c>
      <c r="X31" s="10">
        <f t="shared" si="25"/>
        <v>193331.78156955403</v>
      </c>
      <c r="Y31" s="13">
        <f t="shared" si="26"/>
        <v>48431.218430445966</v>
      </c>
      <c r="Z31" s="13">
        <f t="shared" si="27"/>
        <v>20.032518801655325</v>
      </c>
    </row>
    <row r="32" spans="1:26" x14ac:dyDescent="0.2">
      <c r="F32" s="5"/>
      <c r="H32" s="32"/>
      <c r="T32" s="32"/>
      <c r="U32" s="32"/>
    </row>
  </sheetData>
  <autoFilter ref="A1:Z31" xr:uid="{A60573E7-0C10-47E9-84CF-CCBE31780A2B}"/>
  <phoneticPr fontId="9" type="noConversion"/>
  <pageMargins left="0.7" right="0.7" top="0.75" bottom="0.75" header="0.3" footer="0.3"/>
  <headerFooter>
    <oddFooter>&amp;C_x000D_&amp;1#&amp;"Aptos"&amp;10&amp;K000000 Revvity Proprietary Information</oddFoot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a854ad-91b1-449d-ac0d-217ac9c33903">
      <Terms xmlns="http://schemas.microsoft.com/office/infopath/2007/PartnerControls"/>
    </lcf76f155ced4ddcb4097134ff3c332f>
    <TaxCatchAll xmlns="358f3261-8c6f-476a-b02c-56882718635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4BDE154DBCA640A659833EFFDD788C" ma:contentTypeVersion="18" ma:contentTypeDescription="Create a new document." ma:contentTypeScope="" ma:versionID="000eb582cd40546d65400bd00d0720ca">
  <xsd:schema xmlns:xsd="http://www.w3.org/2001/XMLSchema" xmlns:xs="http://www.w3.org/2001/XMLSchema" xmlns:p="http://schemas.microsoft.com/office/2006/metadata/properties" xmlns:ns2="32a854ad-91b1-449d-ac0d-217ac9c33903" xmlns:ns3="358f3261-8c6f-476a-b02c-56882718635b" targetNamespace="http://schemas.microsoft.com/office/2006/metadata/properties" ma:root="true" ma:fieldsID="881e30d179439d73ff6c74f16fcd3fb8" ns2:_="" ns3:_="">
    <xsd:import namespace="32a854ad-91b1-449d-ac0d-217ac9c33903"/>
    <xsd:import namespace="358f3261-8c6f-476a-b02c-568827186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a854ad-91b1-449d-ac0d-217ac9c339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d2198d8-04a3-41ca-883c-32fc6672d8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f3261-8c6f-476a-b02c-568827186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6efa066-4585-4a2b-af10-3759fda5c364}" ma:internalName="TaxCatchAll" ma:showField="CatchAllData" ma:web="358f3261-8c6f-476a-b02c-568827186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DC610F-D2CB-44E4-9CF3-16B359AF01B2}">
  <ds:schemaRefs>
    <ds:schemaRef ds:uri="http://schemas.microsoft.com/office/2006/metadata/properties"/>
    <ds:schemaRef ds:uri="http://schemas.microsoft.com/office/infopath/2007/PartnerControls"/>
    <ds:schemaRef ds:uri="32a854ad-91b1-449d-ac0d-217ac9c33903"/>
    <ds:schemaRef ds:uri="358f3261-8c6f-476a-b02c-56882718635b"/>
  </ds:schemaRefs>
</ds:datastoreItem>
</file>

<file path=customXml/itemProps2.xml><?xml version="1.0" encoding="utf-8"?>
<ds:datastoreItem xmlns:ds="http://schemas.openxmlformats.org/officeDocument/2006/customXml" ds:itemID="{A03F7EAF-781A-49A7-9B39-DC86C1810D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a854ad-91b1-449d-ac0d-217ac9c33903"/>
    <ds:schemaRef ds:uri="358f3261-8c6f-476a-b02c-5688271863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D769C3-07DD-4F20-BF9C-C3BA66D6181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1b582e8-0077-416f-9765-e019f2ce0792}" enabled="1" method="Standard" siteId="{66a92d0f-8ca8-403c-84e6-5503c564399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Mithiil Paii</dc:creator>
  <cp:keywords/>
  <dc:description/>
  <cp:lastModifiedBy>Pai, Kush</cp:lastModifiedBy>
  <cp:revision/>
  <dcterms:created xsi:type="dcterms:W3CDTF">2025-05-07T06:07:37Z</dcterms:created>
  <dcterms:modified xsi:type="dcterms:W3CDTF">2026-05-12T18:26:41Z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0x010100874BDE154DBCA640A659833EFFDD788C</vt:lpwstr>
  </property>
  <property fmtid="{D5CDD505-2E9C-101B-9397-08002B2CF9AE}" pid="3" name="MediaServiceImageTags">
    <vt:lpwstr/>
  </property>
</Properties>
</file>