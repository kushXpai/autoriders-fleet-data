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AA81FD7E-D616-448C-82A2-7C42DD640833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2" i="1"/>
</calcChain>
</file>

<file path=xl/sharedStrings.xml><?xml version="1.0" encoding="utf-8"?>
<sst xmlns="http://schemas.openxmlformats.org/spreadsheetml/2006/main" count="302" uniqueCount="113">
  <si>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</si>
  <si>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</si>
  <si>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</si>
  <si>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</si>
  <si>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</si>
  <si>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</si>
  <si>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</si>
  <si>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</si>
  <si>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</si>
  <si>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</si>
  <si>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MH02ER8936</t>
  </si>
  <si>
    <t>Crysta</t>
  </si>
  <si>
    <t>MH02ER8934</t>
  </si>
  <si>
    <t>MH02FX3979</t>
  </si>
  <si>
    <t>MH02FG5396</t>
  </si>
  <si>
    <t>MH02ER8594</t>
  </si>
  <si>
    <t>MH02ER7924</t>
  </si>
  <si>
    <t>MH02FG0375</t>
  </si>
  <si>
    <t>MH02FG7118</t>
  </si>
  <si>
    <t>MH02FG7121</t>
  </si>
  <si>
    <t>MH02FG7122</t>
  </si>
  <si>
    <t>MH02FG7270</t>
  </si>
  <si>
    <t>MH02FG7271</t>
  </si>
  <si>
    <t>MH02FG8019</t>
  </si>
  <si>
    <t>MH02FG8382</t>
  </si>
  <si>
    <t>MH02FG9266</t>
  </si>
  <si>
    <t>MH02FG4093</t>
  </si>
  <si>
    <t>MH02FG0615</t>
  </si>
  <si>
    <t>MH02FG4391</t>
  </si>
  <si>
    <t>MH02FG0595</t>
  </si>
  <si>
    <t>MH02FG4095</t>
  </si>
  <si>
    <t>MH02ER9654</t>
  </si>
  <si>
    <t>MH02FG4094</t>
  </si>
  <si>
    <t>MH02FG4103</t>
  </si>
  <si>
    <t>MH02FG5397</t>
  </si>
  <si>
    <t>MH02FG5536</t>
  </si>
  <si>
    <t>MH02FG1526</t>
  </si>
  <si>
    <t>MH02FG1528</t>
  </si>
  <si>
    <t>MH02GH1811</t>
  </si>
  <si>
    <t>MH02GH4410</t>
  </si>
  <si>
    <t>MH02GH4411</t>
  </si>
  <si>
    <t>MH02GH4412</t>
  </si>
  <si>
    <t>MH02FG5319</t>
  </si>
  <si>
    <t>MH02FX1988</t>
  </si>
  <si>
    <t>MH02FX4654</t>
  </si>
  <si>
    <t>MH02FX4656</t>
  </si>
  <si>
    <t>MH02FG7941</t>
  </si>
  <si>
    <t>MH02FG0611</t>
  </si>
  <si>
    <t>Etios</t>
  </si>
  <si>
    <t>MH02GH1218</t>
  </si>
  <si>
    <t>HYRIDER</t>
  </si>
  <si>
    <t xml:space="preserve">MH02FX0009 </t>
  </si>
  <si>
    <t>Fortuner</t>
  </si>
  <si>
    <t>MH02GH0148</t>
  </si>
  <si>
    <t>CITRON</t>
  </si>
  <si>
    <t>MH02GH0149</t>
  </si>
  <si>
    <t>MH02FG7602</t>
  </si>
  <si>
    <t>DZIRE</t>
  </si>
  <si>
    <t>MH02FX1145</t>
  </si>
  <si>
    <t>MH02FG9384</t>
  </si>
  <si>
    <t>MH02GH6037</t>
  </si>
  <si>
    <t>MH02FX1146</t>
  </si>
  <si>
    <t>MH02FX0936</t>
  </si>
  <si>
    <t>BYD</t>
  </si>
  <si>
    <t>MH02GH8023</t>
  </si>
  <si>
    <t>MG EV</t>
  </si>
  <si>
    <t>MH02GH8024</t>
  </si>
  <si>
    <t>MH02FG7558</t>
  </si>
  <si>
    <t>CAMRY</t>
  </si>
  <si>
    <t>MH02FG7557</t>
  </si>
  <si>
    <t>MH02GH0376</t>
  </si>
  <si>
    <t>INVICTO</t>
  </si>
  <si>
    <t>MH02GH0379</t>
  </si>
  <si>
    <t>MH02FX1097</t>
  </si>
  <si>
    <t>Hycross</t>
  </si>
  <si>
    <t>MH02FX5714</t>
  </si>
  <si>
    <t>MH02GH6513</t>
  </si>
  <si>
    <t>MH02GH6514</t>
  </si>
  <si>
    <t>MH02GH7946</t>
  </si>
  <si>
    <t>MH02GH6720</t>
  </si>
  <si>
    <t>MH02GS1897</t>
  </si>
  <si>
    <t>MH02GS1898</t>
  </si>
  <si>
    <t>MH02GH6363</t>
  </si>
  <si>
    <t>Merc E</t>
  </si>
  <si>
    <t>MH02FG6363</t>
  </si>
  <si>
    <t>5 Series</t>
  </si>
  <si>
    <t>MH02GH2835</t>
  </si>
  <si>
    <t>URBANIA</t>
  </si>
  <si>
    <t>MH02GH2836</t>
  </si>
  <si>
    <t>MH02GH2837</t>
  </si>
  <si>
    <t>MH02GH3618</t>
  </si>
  <si>
    <t>MH02GH2433</t>
  </si>
  <si>
    <t>XUV 400</t>
  </si>
  <si>
    <t>MH02GH2432</t>
  </si>
  <si>
    <t>XUV 401</t>
  </si>
  <si>
    <t>Branch</t>
  </si>
  <si>
    <t>Year</t>
  </si>
  <si>
    <t>Month</t>
  </si>
  <si>
    <t>Mumbai</t>
  </si>
  <si>
    <t>March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</si>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</sst>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78"/>
  <sheetViews>
    <sheetView tabSelected="1" topLeftCell="A50" workbookViewId="0">
      <selection activeCell="A71" sqref="A71:XFD78"/>
    </sheetView>
  </sheetViews>
  <sheetFormatPr defaultRowHeight="15" x14ac:dyDescent="0.25"/>
  <cols>
    <col min="1" max="1" width="6.28515625" bestFit="1" customWidth="1"/>
    <col min="2" max="2" width="8.28515625" bestFit="1" customWidth="1"/>
    <col min="3" max="3" width="6.570312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12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100</v>
      </c>
      <c r="B1" t="s">
        <v>95</v>
      </c>
      <c r="C1" t="s">
        <v>97</v>
      </c>
      <c r="D1" t="s">
        <v>96</v>
      </c>
      <c r="E1" t="s">
        <v>101</v>
      </c>
      <c r="F1" t="s">
        <v>0</v>
      </c>
      <c r="G1" t="s">
        <v>102</v>
      </c>
      <c r="H1" t="s">
        <v>1</v>
      </c>
      <c r="I1" t="s">
        <v>2</v>
      </c>
      <c r="J1" t="s">
        <v>3</v>
      </c>
      <c r="K1" t="s">
        <v>103</v>
      </c>
      <c r="L1" t="s">
        <v>104</v>
      </c>
      <c r="M1" t="s">
        <v>4</v>
      </c>
      <c r="N1" t="s">
        <v>105</v>
      </c>
      <c r="O1" t="s">
        <v>5</v>
      </c>
      <c r="P1" t="s">
        <v>106</v>
      </c>
      <c r="Q1" t="s">
        <v>107</v>
      </c>
      <c r="R1" t="s">
        <v>108</v>
      </c>
      <c r="S1" t="s">
        <v>6</v>
      </c>
      <c r="T1" t="s">
        <v>109</v>
      </c>
      <c r="U1" t="s">
        <v>7</v>
      </c>
      <c r="V1" t="s">
        <v>110</v>
      </c>
      <c r="W1" t="s">
        <v>8</v>
      </c>
      <c r="X1" t="s">
        <v>111</v>
      </c>
      <c r="Y1" t="s">
        <v>112</v>
      </c>
      <c r="Z1" t="s">
        <v>9</v>
      </c>
    </row>
    <row r="2" spans="1:26" x14ac:dyDescent="0.25">
      <c r="A2">
        <v>1</v>
      </c>
      <c r="B2" t="s">
        <v>98</v>
      </c>
      <c r="C2" t="s">
        <v>99</v>
      </c>
      <c r="D2">
        <v>2026</v>
      </c>
      <c r="E2" t="s">
        <v>10</v>
      </c>
      <c r="F2" t="s">
        <v>11</v>
      </c>
      <c r="G2" s="1">
        <f ca="1">TODAY()-RANDBETWEEN(365,365*5)</f>
        <v>45610</v>
      </c>
      <c r="H2">
        <v>183389</v>
      </c>
      <c r="I2">
        <v>186447</v>
      </c>
      <c r="J2">
        <v>3058</v>
      </c>
      <c r="K2">
        <v>2870</v>
      </c>
      <c r="L2">
        <v>0</v>
      </c>
      <c r="M2">
        <v>98</v>
      </c>
      <c r="N2">
        <v>2968</v>
      </c>
      <c r="O2">
        <v>90</v>
      </c>
      <c r="P2">
        <v>116188</v>
      </c>
      <c r="Q2">
        <v>0</v>
      </c>
      <c r="R2">
        <v>8710</v>
      </c>
      <c r="S2">
        <v>124898</v>
      </c>
      <c r="T2">
        <v>26265</v>
      </c>
      <c r="U2">
        <v>0</v>
      </c>
      <c r="V2">
        <v>28620.919971355845</v>
      </c>
      <c r="W2">
        <v>0</v>
      </c>
      <c r="X2">
        <v>54885.919971355848</v>
      </c>
      <c r="Y2">
        <v>70012</v>
      </c>
      <c r="Z2">
        <v>56.06</v>
      </c>
    </row>
    <row r="3" spans="1:26" x14ac:dyDescent="0.25">
      <c r="A3">
        <v>2</v>
      </c>
      <c r="B3" t="s">
        <v>98</v>
      </c>
      <c r="C3" t="s">
        <v>99</v>
      </c>
      <c r="D3">
        <v>2026</v>
      </c>
      <c r="E3" t="s">
        <v>12</v>
      </c>
      <c r="F3" t="s">
        <v>11</v>
      </c>
      <c r="G3" s="1">
        <f t="shared" ref="G3:G66" ca="1" si="0">TODAY()-RANDBETWEEN(365,365*5)</f>
        <v>44932</v>
      </c>
      <c r="H3">
        <v>162197</v>
      </c>
      <c r="I3">
        <v>165856</v>
      </c>
      <c r="J3">
        <v>3659</v>
      </c>
      <c r="K3">
        <v>3880</v>
      </c>
      <c r="L3">
        <v>0</v>
      </c>
      <c r="M3">
        <v>0</v>
      </c>
      <c r="N3">
        <v>3880</v>
      </c>
      <c r="O3">
        <v>-221</v>
      </c>
      <c r="P3">
        <v>150346</v>
      </c>
      <c r="Q3">
        <v>0</v>
      </c>
      <c r="R3">
        <v>0</v>
      </c>
      <c r="S3">
        <v>150346</v>
      </c>
      <c r="T3">
        <v>32782</v>
      </c>
      <c r="U3">
        <v>0</v>
      </c>
      <c r="V3">
        <v>34452.439863035965</v>
      </c>
      <c r="W3">
        <v>0</v>
      </c>
      <c r="X3">
        <v>67234.439863035965</v>
      </c>
      <c r="Y3">
        <v>83112</v>
      </c>
      <c r="Z3">
        <v>55.28</v>
      </c>
    </row>
    <row r="4" spans="1:26" x14ac:dyDescent="0.25">
      <c r="A4">
        <v>3</v>
      </c>
      <c r="B4" t="s">
        <v>98</v>
      </c>
      <c r="C4" t="s">
        <v>99</v>
      </c>
      <c r="D4">
        <v>2026</v>
      </c>
      <c r="E4" t="s">
        <v>13</v>
      </c>
      <c r="F4" t="s">
        <v>11</v>
      </c>
      <c r="G4" s="1">
        <f t="shared" ca="1" si="0"/>
        <v>44611</v>
      </c>
      <c r="H4">
        <v>36409</v>
      </c>
      <c r="I4">
        <v>41362</v>
      </c>
      <c r="J4">
        <v>4953</v>
      </c>
      <c r="K4">
        <v>4961</v>
      </c>
      <c r="L4">
        <v>0</v>
      </c>
      <c r="M4">
        <v>0</v>
      </c>
      <c r="N4">
        <v>4961</v>
      </c>
      <c r="O4">
        <v>-8</v>
      </c>
      <c r="P4">
        <v>147477</v>
      </c>
      <c r="Q4">
        <v>0</v>
      </c>
      <c r="R4">
        <v>0</v>
      </c>
      <c r="S4">
        <v>147477</v>
      </c>
      <c r="T4">
        <v>40152</v>
      </c>
      <c r="U4">
        <v>0</v>
      </c>
      <c r="V4">
        <v>33794.996033688658</v>
      </c>
      <c r="W4">
        <v>57477</v>
      </c>
      <c r="X4">
        <v>131423.99603368866</v>
      </c>
      <c r="Y4">
        <v>16053</v>
      </c>
      <c r="Z4">
        <v>10.89</v>
      </c>
    </row>
    <row r="5" spans="1:26" x14ac:dyDescent="0.25">
      <c r="A5">
        <v>4</v>
      </c>
      <c r="B5" t="s">
        <v>98</v>
      </c>
      <c r="C5" t="s">
        <v>99</v>
      </c>
      <c r="D5">
        <v>2026</v>
      </c>
      <c r="E5" t="s">
        <v>14</v>
      </c>
      <c r="F5" t="s">
        <v>11</v>
      </c>
      <c r="G5" s="1">
        <f t="shared" ca="1" si="0"/>
        <v>44518</v>
      </c>
      <c r="H5">
        <v>91451</v>
      </c>
      <c r="I5">
        <v>94267</v>
      </c>
      <c r="J5">
        <v>2816</v>
      </c>
      <c r="K5">
        <v>2353</v>
      </c>
      <c r="L5">
        <v>0</v>
      </c>
      <c r="M5">
        <v>0</v>
      </c>
      <c r="N5">
        <v>2353</v>
      </c>
      <c r="O5">
        <v>463</v>
      </c>
      <c r="P5">
        <v>97256</v>
      </c>
      <c r="Q5">
        <v>0</v>
      </c>
      <c r="R5">
        <v>0</v>
      </c>
      <c r="S5">
        <v>97256</v>
      </c>
      <c r="T5">
        <v>23930</v>
      </c>
      <c r="U5">
        <v>4500</v>
      </c>
      <c r="V5">
        <v>22286.635436389566</v>
      </c>
      <c r="W5">
        <v>0</v>
      </c>
      <c r="X5">
        <v>50716.635436389566</v>
      </c>
      <c r="Y5">
        <v>46539</v>
      </c>
      <c r="Z5">
        <v>47.85</v>
      </c>
    </row>
    <row r="6" spans="1:26" x14ac:dyDescent="0.25">
      <c r="A6">
        <v>5</v>
      </c>
      <c r="B6" t="s">
        <v>98</v>
      </c>
      <c r="C6" t="s">
        <v>99</v>
      </c>
      <c r="D6">
        <v>2026</v>
      </c>
      <c r="E6" t="s">
        <v>15</v>
      </c>
      <c r="F6" t="s">
        <v>11</v>
      </c>
      <c r="G6" s="1">
        <f t="shared" ca="1" si="0"/>
        <v>45748</v>
      </c>
      <c r="H6">
        <v>240217</v>
      </c>
      <c r="I6">
        <v>241193</v>
      </c>
      <c r="J6">
        <v>976</v>
      </c>
      <c r="K6">
        <v>0</v>
      </c>
      <c r="L6">
        <v>0</v>
      </c>
      <c r="M6">
        <v>976</v>
      </c>
      <c r="N6">
        <v>976</v>
      </c>
      <c r="O6">
        <v>0</v>
      </c>
      <c r="P6">
        <v>0</v>
      </c>
      <c r="Q6">
        <v>0</v>
      </c>
      <c r="R6">
        <v>99130</v>
      </c>
      <c r="S6">
        <v>99130</v>
      </c>
      <c r="T6">
        <v>0</v>
      </c>
      <c r="U6">
        <v>0</v>
      </c>
      <c r="V6">
        <v>22716.070687765256</v>
      </c>
      <c r="W6">
        <v>0</v>
      </c>
      <c r="X6">
        <v>22716.070687765256</v>
      </c>
      <c r="Y6">
        <v>76414</v>
      </c>
      <c r="Z6">
        <v>77.08</v>
      </c>
    </row>
    <row r="7" spans="1:26" x14ac:dyDescent="0.25">
      <c r="A7">
        <v>6</v>
      </c>
      <c r="B7" t="s">
        <v>98</v>
      </c>
      <c r="C7" t="s">
        <v>99</v>
      </c>
      <c r="D7">
        <v>2026</v>
      </c>
      <c r="E7" t="s">
        <v>16</v>
      </c>
      <c r="F7" t="s">
        <v>11</v>
      </c>
      <c r="G7" s="1">
        <f t="shared" ca="1" si="0"/>
        <v>44545</v>
      </c>
      <c r="H7">
        <v>129004</v>
      </c>
      <c r="I7">
        <v>132275</v>
      </c>
      <c r="J7">
        <v>3271</v>
      </c>
      <c r="K7">
        <v>3505</v>
      </c>
      <c r="L7">
        <v>0</v>
      </c>
      <c r="M7">
        <v>0</v>
      </c>
      <c r="N7">
        <v>3505</v>
      </c>
      <c r="O7">
        <v>-234</v>
      </c>
      <c r="P7">
        <v>144137</v>
      </c>
      <c r="Q7">
        <v>0</v>
      </c>
      <c r="R7">
        <v>0</v>
      </c>
      <c r="S7">
        <v>144137</v>
      </c>
      <c r="T7">
        <v>23993</v>
      </c>
      <c r="U7">
        <v>0</v>
      </c>
      <c r="V7">
        <v>33029.620505623127</v>
      </c>
      <c r="W7">
        <v>0</v>
      </c>
      <c r="X7">
        <v>57022.620505623127</v>
      </c>
      <c r="Y7">
        <v>87114</v>
      </c>
      <c r="Z7">
        <v>60.44</v>
      </c>
    </row>
    <row r="8" spans="1:26" x14ac:dyDescent="0.25">
      <c r="A8">
        <v>7</v>
      </c>
      <c r="B8" t="s">
        <v>98</v>
      </c>
      <c r="C8" t="s">
        <v>99</v>
      </c>
      <c r="D8">
        <v>2026</v>
      </c>
      <c r="E8" t="s">
        <v>17</v>
      </c>
      <c r="F8" t="s">
        <v>11</v>
      </c>
      <c r="G8" s="1">
        <f t="shared" ca="1" si="0"/>
        <v>44712</v>
      </c>
      <c r="H8">
        <v>85597</v>
      </c>
      <c r="I8">
        <v>87201</v>
      </c>
      <c r="J8">
        <v>1604</v>
      </c>
      <c r="K8">
        <v>1580</v>
      </c>
      <c r="L8">
        <v>0</v>
      </c>
      <c r="M8">
        <v>0</v>
      </c>
      <c r="N8">
        <v>1580</v>
      </c>
      <c r="O8">
        <v>24</v>
      </c>
      <c r="P8">
        <v>72843</v>
      </c>
      <c r="Q8">
        <v>0</v>
      </c>
      <c r="R8">
        <v>0</v>
      </c>
      <c r="S8">
        <v>72843</v>
      </c>
      <c r="T8">
        <v>15304</v>
      </c>
      <c r="U8">
        <v>0</v>
      </c>
      <c r="V8">
        <v>16692.290296669871</v>
      </c>
      <c r="W8">
        <v>0</v>
      </c>
      <c r="X8">
        <v>31996.290296669871</v>
      </c>
      <c r="Y8">
        <v>40847</v>
      </c>
      <c r="Z8">
        <v>56.07</v>
      </c>
    </row>
    <row r="9" spans="1:26" x14ac:dyDescent="0.25">
      <c r="A9">
        <v>8</v>
      </c>
      <c r="B9" t="s">
        <v>98</v>
      </c>
      <c r="C9" t="s">
        <v>99</v>
      </c>
      <c r="D9">
        <v>2026</v>
      </c>
      <c r="E9" t="s">
        <v>18</v>
      </c>
      <c r="F9" t="s">
        <v>11</v>
      </c>
      <c r="G9" s="1">
        <f t="shared" ca="1" si="0"/>
        <v>44489</v>
      </c>
      <c r="H9">
        <v>183333</v>
      </c>
      <c r="I9">
        <v>187251</v>
      </c>
      <c r="J9">
        <v>3918</v>
      </c>
      <c r="K9">
        <v>3804</v>
      </c>
      <c r="L9">
        <v>0</v>
      </c>
      <c r="M9">
        <v>0</v>
      </c>
      <c r="N9">
        <v>3804</v>
      </c>
      <c r="O9">
        <v>114</v>
      </c>
      <c r="P9">
        <v>146556</v>
      </c>
      <c r="Q9">
        <v>0</v>
      </c>
      <c r="R9">
        <v>0</v>
      </c>
      <c r="S9">
        <v>146556</v>
      </c>
      <c r="T9">
        <v>35276</v>
      </c>
      <c r="U9">
        <v>750</v>
      </c>
      <c r="V9">
        <v>33583.944877596332</v>
      </c>
      <c r="W9">
        <v>0</v>
      </c>
      <c r="X9">
        <v>69609.944877596339</v>
      </c>
      <c r="Y9">
        <v>76946</v>
      </c>
      <c r="Z9">
        <v>52.5</v>
      </c>
    </row>
    <row r="10" spans="1:26" x14ac:dyDescent="0.25">
      <c r="A10">
        <v>9</v>
      </c>
      <c r="B10" t="s">
        <v>98</v>
      </c>
      <c r="C10" t="s">
        <v>99</v>
      </c>
      <c r="D10">
        <v>2026</v>
      </c>
      <c r="E10" t="s">
        <v>19</v>
      </c>
      <c r="F10" t="s">
        <v>11</v>
      </c>
      <c r="G10" s="1">
        <f t="shared" ca="1" si="0"/>
        <v>45039</v>
      </c>
      <c r="H10">
        <v>156906</v>
      </c>
      <c r="I10">
        <v>158714</v>
      </c>
      <c r="J10">
        <v>1808</v>
      </c>
      <c r="K10">
        <v>0</v>
      </c>
      <c r="L10">
        <v>0</v>
      </c>
      <c r="M10">
        <v>1808</v>
      </c>
      <c r="N10">
        <v>1808</v>
      </c>
      <c r="O10">
        <v>0</v>
      </c>
      <c r="P10">
        <v>0</v>
      </c>
      <c r="Q10">
        <v>0</v>
      </c>
      <c r="R10">
        <v>128500</v>
      </c>
      <c r="S10">
        <v>128500</v>
      </c>
      <c r="T10">
        <v>11275</v>
      </c>
      <c r="U10">
        <v>4350</v>
      </c>
      <c r="V10">
        <v>29446.333939048069</v>
      </c>
      <c r="W10">
        <v>0</v>
      </c>
      <c r="X10">
        <v>45071.333939048069</v>
      </c>
      <c r="Y10">
        <v>83429</v>
      </c>
      <c r="Z10">
        <v>64.930000000000007</v>
      </c>
    </row>
    <row r="11" spans="1:26" x14ac:dyDescent="0.25">
      <c r="A11">
        <v>10</v>
      </c>
      <c r="B11" t="s">
        <v>98</v>
      </c>
      <c r="C11" t="s">
        <v>99</v>
      </c>
      <c r="D11">
        <v>2026</v>
      </c>
      <c r="E11" t="s">
        <v>20</v>
      </c>
      <c r="F11" t="s">
        <v>11</v>
      </c>
      <c r="G11" s="1">
        <f t="shared" ca="1" si="0"/>
        <v>45629</v>
      </c>
      <c r="H11">
        <v>153304</v>
      </c>
      <c r="I11">
        <v>157640</v>
      </c>
      <c r="J11">
        <v>4336</v>
      </c>
      <c r="K11">
        <v>3463</v>
      </c>
      <c r="L11">
        <v>0</v>
      </c>
      <c r="M11">
        <v>0</v>
      </c>
      <c r="N11">
        <v>3463</v>
      </c>
      <c r="O11">
        <v>873</v>
      </c>
      <c r="P11">
        <v>118919</v>
      </c>
      <c r="Q11">
        <v>0</v>
      </c>
      <c r="R11">
        <v>0</v>
      </c>
      <c r="S11">
        <v>118919</v>
      </c>
      <c r="T11">
        <v>31471</v>
      </c>
      <c r="U11">
        <v>14930</v>
      </c>
      <c r="V11">
        <v>27250.806114378658</v>
      </c>
      <c r="W11">
        <v>0</v>
      </c>
      <c r="X11">
        <v>73651.806114378662</v>
      </c>
      <c r="Y11">
        <v>45267</v>
      </c>
      <c r="Z11">
        <v>38.07</v>
      </c>
    </row>
    <row r="12" spans="1:26" x14ac:dyDescent="0.25">
      <c r="A12">
        <v>11</v>
      </c>
      <c r="B12" t="s">
        <v>98</v>
      </c>
      <c r="C12" t="s">
        <v>99</v>
      </c>
      <c r="D12">
        <v>2026</v>
      </c>
      <c r="E12" t="s">
        <v>21</v>
      </c>
      <c r="F12" t="s">
        <v>11</v>
      </c>
      <c r="G12" s="1">
        <f t="shared" ca="1" si="0"/>
        <v>45244</v>
      </c>
      <c r="H12">
        <v>116616</v>
      </c>
      <c r="I12">
        <v>117803</v>
      </c>
      <c r="J12">
        <v>1187</v>
      </c>
      <c r="K12">
        <v>0</v>
      </c>
      <c r="L12">
        <v>0</v>
      </c>
      <c r="M12">
        <v>1187</v>
      </c>
      <c r="N12">
        <v>1187</v>
      </c>
      <c r="O12">
        <v>0</v>
      </c>
      <c r="P12">
        <v>0</v>
      </c>
      <c r="Q12">
        <v>0</v>
      </c>
      <c r="R12">
        <v>127400</v>
      </c>
      <c r="S12">
        <v>127400</v>
      </c>
      <c r="T12">
        <v>9139</v>
      </c>
      <c r="U12">
        <v>0</v>
      </c>
      <c r="V12">
        <v>29194.264154355831</v>
      </c>
      <c r="W12">
        <v>0</v>
      </c>
      <c r="X12">
        <v>38333.264154355827</v>
      </c>
      <c r="Y12">
        <v>89067</v>
      </c>
      <c r="Z12">
        <v>69.91</v>
      </c>
    </row>
    <row r="13" spans="1:26" x14ac:dyDescent="0.25">
      <c r="A13">
        <v>12</v>
      </c>
      <c r="B13" t="s">
        <v>98</v>
      </c>
      <c r="C13" t="s">
        <v>99</v>
      </c>
      <c r="D13">
        <v>2026</v>
      </c>
      <c r="E13" t="s">
        <v>22</v>
      </c>
      <c r="F13" t="s">
        <v>11</v>
      </c>
      <c r="G13" s="1">
        <f t="shared" ca="1" si="0"/>
        <v>44684</v>
      </c>
      <c r="H13">
        <v>174118</v>
      </c>
      <c r="I13">
        <v>178155</v>
      </c>
      <c r="J13">
        <v>4037</v>
      </c>
      <c r="K13">
        <v>4196</v>
      </c>
      <c r="L13">
        <v>0</v>
      </c>
      <c r="M13">
        <v>0</v>
      </c>
      <c r="N13">
        <v>4196</v>
      </c>
      <c r="O13">
        <v>-159</v>
      </c>
      <c r="P13">
        <v>137798</v>
      </c>
      <c r="Q13">
        <v>0</v>
      </c>
      <c r="R13">
        <v>0</v>
      </c>
      <c r="S13">
        <v>137798</v>
      </c>
      <c r="T13">
        <v>36971</v>
      </c>
      <c r="U13">
        <v>4450</v>
      </c>
      <c r="V13">
        <v>31577.011082746663</v>
      </c>
      <c r="W13">
        <v>0</v>
      </c>
      <c r="X13">
        <v>72998.011082746671</v>
      </c>
      <c r="Y13">
        <v>64800</v>
      </c>
      <c r="Z13">
        <v>47.03</v>
      </c>
    </row>
    <row r="14" spans="1:26" x14ac:dyDescent="0.25">
      <c r="A14">
        <v>13</v>
      </c>
      <c r="B14" t="s">
        <v>98</v>
      </c>
      <c r="C14" t="s">
        <v>99</v>
      </c>
      <c r="D14">
        <v>2026</v>
      </c>
      <c r="E14" t="s">
        <v>23</v>
      </c>
      <c r="F14" t="s">
        <v>11</v>
      </c>
      <c r="G14" s="1">
        <f t="shared" ca="1" si="0"/>
        <v>45209</v>
      </c>
      <c r="H14">
        <v>137535</v>
      </c>
      <c r="I14">
        <v>139876</v>
      </c>
      <c r="J14">
        <v>2341</v>
      </c>
      <c r="K14">
        <v>2445</v>
      </c>
      <c r="L14">
        <v>0</v>
      </c>
      <c r="M14">
        <v>0</v>
      </c>
      <c r="N14">
        <v>2445</v>
      </c>
      <c r="O14">
        <v>-104</v>
      </c>
      <c r="P14">
        <v>92571</v>
      </c>
      <c r="Q14">
        <v>0</v>
      </c>
      <c r="R14">
        <v>0</v>
      </c>
      <c r="S14">
        <v>92571</v>
      </c>
      <c r="T14">
        <v>23153</v>
      </c>
      <c r="U14">
        <v>15372</v>
      </c>
      <c r="V14">
        <v>21213.047307950343</v>
      </c>
      <c r="W14">
        <v>0</v>
      </c>
      <c r="X14">
        <v>59738.047307950343</v>
      </c>
      <c r="Y14">
        <v>32833</v>
      </c>
      <c r="Z14">
        <v>35.47</v>
      </c>
    </row>
    <row r="15" spans="1:26" x14ac:dyDescent="0.25">
      <c r="A15">
        <v>14</v>
      </c>
      <c r="B15" t="s">
        <v>98</v>
      </c>
      <c r="C15" t="s">
        <v>99</v>
      </c>
      <c r="D15">
        <v>2026</v>
      </c>
      <c r="E15" t="s">
        <v>24</v>
      </c>
      <c r="F15" t="s">
        <v>11</v>
      </c>
      <c r="G15" s="1">
        <f t="shared" ca="1" si="0"/>
        <v>45718</v>
      </c>
      <c r="H15">
        <v>189952</v>
      </c>
      <c r="I15">
        <v>193805</v>
      </c>
      <c r="J15">
        <v>3853</v>
      </c>
      <c r="K15">
        <v>4190</v>
      </c>
      <c r="L15">
        <v>0</v>
      </c>
      <c r="M15">
        <v>0</v>
      </c>
      <c r="N15">
        <v>4190</v>
      </c>
      <c r="O15">
        <v>-337</v>
      </c>
      <c r="P15">
        <v>171163</v>
      </c>
      <c r="Q15">
        <v>0</v>
      </c>
      <c r="R15">
        <v>0</v>
      </c>
      <c r="S15">
        <v>171163</v>
      </c>
      <c r="T15">
        <v>37277</v>
      </c>
      <c r="U15">
        <v>0</v>
      </c>
      <c r="V15">
        <v>39222.745961161752</v>
      </c>
      <c r="W15">
        <v>0</v>
      </c>
      <c r="X15">
        <v>76499.745961161752</v>
      </c>
      <c r="Y15">
        <v>94663</v>
      </c>
      <c r="Z15">
        <v>55.31</v>
      </c>
    </row>
    <row r="16" spans="1:26" x14ac:dyDescent="0.25">
      <c r="A16">
        <v>15</v>
      </c>
      <c r="B16" t="s">
        <v>98</v>
      </c>
      <c r="C16" t="s">
        <v>99</v>
      </c>
      <c r="D16">
        <v>2026</v>
      </c>
      <c r="E16" t="s">
        <v>25</v>
      </c>
      <c r="F16" t="s">
        <v>11</v>
      </c>
      <c r="G16" s="1">
        <f t="shared" ca="1" si="0"/>
        <v>44567</v>
      </c>
      <c r="H16">
        <v>104412</v>
      </c>
      <c r="I16">
        <v>110832</v>
      </c>
      <c r="J16">
        <v>6420</v>
      </c>
      <c r="K16">
        <v>6006</v>
      </c>
      <c r="L16">
        <v>0</v>
      </c>
      <c r="M16">
        <v>0</v>
      </c>
      <c r="N16">
        <v>6006</v>
      </c>
      <c r="O16">
        <v>414</v>
      </c>
      <c r="P16">
        <v>217191</v>
      </c>
      <c r="Q16">
        <v>0</v>
      </c>
      <c r="R16">
        <v>0</v>
      </c>
      <c r="S16">
        <v>217191</v>
      </c>
      <c r="T16">
        <v>55771</v>
      </c>
      <c r="U16">
        <v>6050</v>
      </c>
      <c r="V16">
        <v>49770.262370083961</v>
      </c>
      <c r="W16">
        <v>0</v>
      </c>
      <c r="X16">
        <v>111591.26237008396</v>
      </c>
      <c r="Y16">
        <v>105600</v>
      </c>
      <c r="Z16">
        <v>48.62</v>
      </c>
    </row>
    <row r="17" spans="1:26" x14ac:dyDescent="0.25">
      <c r="A17">
        <v>16</v>
      </c>
      <c r="B17" t="s">
        <v>98</v>
      </c>
      <c r="C17" t="s">
        <v>99</v>
      </c>
      <c r="D17">
        <v>2026</v>
      </c>
      <c r="E17" t="s">
        <v>26</v>
      </c>
      <c r="F17" t="s">
        <v>11</v>
      </c>
      <c r="G17" s="1">
        <f t="shared" ca="1" si="0"/>
        <v>44869</v>
      </c>
      <c r="H17">
        <v>160561</v>
      </c>
      <c r="I17">
        <v>161474</v>
      </c>
      <c r="J17">
        <v>913</v>
      </c>
      <c r="K17">
        <v>1025</v>
      </c>
      <c r="L17">
        <v>0</v>
      </c>
      <c r="M17">
        <v>0</v>
      </c>
      <c r="N17">
        <v>1025</v>
      </c>
      <c r="O17">
        <v>-112</v>
      </c>
      <c r="P17">
        <v>47651</v>
      </c>
      <c r="Q17">
        <v>0</v>
      </c>
      <c r="R17">
        <v>0</v>
      </c>
      <c r="S17">
        <v>47651</v>
      </c>
      <c r="T17">
        <v>10441</v>
      </c>
      <c r="U17">
        <v>7700</v>
      </c>
      <c r="V17">
        <v>10919.433918518129</v>
      </c>
      <c r="W17">
        <v>0</v>
      </c>
      <c r="X17">
        <v>29060.433918518131</v>
      </c>
      <c r="Y17">
        <v>18591</v>
      </c>
      <c r="Z17">
        <v>39.01</v>
      </c>
    </row>
    <row r="18" spans="1:26" x14ac:dyDescent="0.25">
      <c r="A18">
        <v>17</v>
      </c>
      <c r="B18" t="s">
        <v>98</v>
      </c>
      <c r="C18" t="s">
        <v>99</v>
      </c>
      <c r="D18">
        <v>2026</v>
      </c>
      <c r="E18" t="s">
        <v>27</v>
      </c>
      <c r="F18" t="s">
        <v>11</v>
      </c>
      <c r="G18" s="1">
        <f t="shared" ca="1" si="0"/>
        <v>44848</v>
      </c>
      <c r="H18">
        <v>189988</v>
      </c>
      <c r="I18">
        <v>194199</v>
      </c>
      <c r="J18">
        <v>4211</v>
      </c>
      <c r="K18">
        <v>3925</v>
      </c>
      <c r="L18">
        <v>0</v>
      </c>
      <c r="M18">
        <v>0</v>
      </c>
      <c r="N18">
        <v>3925</v>
      </c>
      <c r="O18">
        <v>286</v>
      </c>
      <c r="P18">
        <v>135303</v>
      </c>
      <c r="Q18">
        <v>0</v>
      </c>
      <c r="R18">
        <v>0</v>
      </c>
      <c r="S18">
        <v>135303</v>
      </c>
      <c r="T18">
        <v>32275</v>
      </c>
      <c r="U18">
        <v>22821</v>
      </c>
      <c r="V18">
        <v>31005.270980194717</v>
      </c>
      <c r="W18">
        <v>0</v>
      </c>
      <c r="X18">
        <v>86101.27098019472</v>
      </c>
      <c r="Y18">
        <v>49202</v>
      </c>
      <c r="Z18">
        <v>36.36</v>
      </c>
    </row>
    <row r="19" spans="1:26" x14ac:dyDescent="0.25">
      <c r="A19">
        <v>18</v>
      </c>
      <c r="B19" t="s">
        <v>98</v>
      </c>
      <c r="C19" t="s">
        <v>99</v>
      </c>
      <c r="D19">
        <v>2026</v>
      </c>
      <c r="E19" t="s">
        <v>28</v>
      </c>
      <c r="F19" t="s">
        <v>11</v>
      </c>
      <c r="G19" s="1">
        <f t="shared" ca="1" si="0"/>
        <v>45557</v>
      </c>
      <c r="H19">
        <v>106067</v>
      </c>
      <c r="I19">
        <v>109040</v>
      </c>
      <c r="J19">
        <v>2973</v>
      </c>
      <c r="K19">
        <v>3141</v>
      </c>
      <c r="L19">
        <v>0</v>
      </c>
      <c r="M19">
        <v>0</v>
      </c>
      <c r="N19">
        <v>3141</v>
      </c>
      <c r="O19">
        <v>-168</v>
      </c>
      <c r="P19">
        <v>132197</v>
      </c>
      <c r="Q19">
        <v>0</v>
      </c>
      <c r="R19">
        <v>0</v>
      </c>
      <c r="S19">
        <v>132197</v>
      </c>
      <c r="T19">
        <v>26341</v>
      </c>
      <c r="U19">
        <v>0</v>
      </c>
      <c r="V19">
        <v>30293.517569963718</v>
      </c>
      <c r="W19">
        <v>0</v>
      </c>
      <c r="X19">
        <v>56634.517569963718</v>
      </c>
      <c r="Y19">
        <v>75562</v>
      </c>
      <c r="Z19">
        <v>57.16</v>
      </c>
    </row>
    <row r="20" spans="1:26" x14ac:dyDescent="0.25">
      <c r="A20">
        <v>19</v>
      </c>
      <c r="B20" t="s">
        <v>98</v>
      </c>
      <c r="C20" t="s">
        <v>99</v>
      </c>
      <c r="D20">
        <v>2026</v>
      </c>
      <c r="E20" t="s">
        <v>29</v>
      </c>
      <c r="F20" t="s">
        <v>11</v>
      </c>
      <c r="G20" s="1">
        <f t="shared" ca="1" si="0"/>
        <v>45146</v>
      </c>
      <c r="H20">
        <v>172635</v>
      </c>
      <c r="I20">
        <v>175983</v>
      </c>
      <c r="J20">
        <v>3348</v>
      </c>
      <c r="K20">
        <v>3329</v>
      </c>
      <c r="L20">
        <v>0</v>
      </c>
      <c r="M20">
        <v>0</v>
      </c>
      <c r="N20">
        <v>3329</v>
      </c>
      <c r="O20">
        <v>19</v>
      </c>
      <c r="P20">
        <v>110525</v>
      </c>
      <c r="Q20">
        <v>0</v>
      </c>
      <c r="R20">
        <v>0</v>
      </c>
      <c r="S20">
        <v>110525</v>
      </c>
      <c r="T20">
        <v>30068</v>
      </c>
      <c r="U20">
        <v>3100</v>
      </c>
      <c r="V20">
        <v>25327.284502827144</v>
      </c>
      <c r="W20">
        <v>0</v>
      </c>
      <c r="X20">
        <v>58495.28450282714</v>
      </c>
      <c r="Y20">
        <v>52030</v>
      </c>
      <c r="Z20">
        <v>47.08</v>
      </c>
    </row>
    <row r="21" spans="1:26" x14ac:dyDescent="0.25">
      <c r="A21">
        <v>20</v>
      </c>
      <c r="B21" t="s">
        <v>98</v>
      </c>
      <c r="C21" t="s">
        <v>99</v>
      </c>
      <c r="D21">
        <v>2026</v>
      </c>
      <c r="E21" t="s">
        <v>30</v>
      </c>
      <c r="F21" t="s">
        <v>11</v>
      </c>
      <c r="G21" s="1">
        <f t="shared" ca="1" si="0"/>
        <v>44507</v>
      </c>
      <c r="H21">
        <v>85161</v>
      </c>
      <c r="I21">
        <v>87428</v>
      </c>
      <c r="J21">
        <v>2267</v>
      </c>
      <c r="K21">
        <v>2537</v>
      </c>
      <c r="L21">
        <v>0</v>
      </c>
      <c r="M21">
        <v>0</v>
      </c>
      <c r="N21">
        <v>2537</v>
      </c>
      <c r="O21">
        <v>-270</v>
      </c>
      <c r="P21">
        <v>115977</v>
      </c>
      <c r="Q21">
        <v>0</v>
      </c>
      <c r="R21">
        <v>0</v>
      </c>
      <c r="S21">
        <v>115977</v>
      </c>
      <c r="T21">
        <v>17791</v>
      </c>
      <c r="U21">
        <v>0</v>
      </c>
      <c r="V21">
        <v>26576.634017501776</v>
      </c>
      <c r="W21">
        <v>0</v>
      </c>
      <c r="X21">
        <v>44367.634017501776</v>
      </c>
      <c r="Y21">
        <v>71609</v>
      </c>
      <c r="Z21">
        <v>61.74</v>
      </c>
    </row>
    <row r="22" spans="1:26" x14ac:dyDescent="0.25">
      <c r="A22">
        <v>21</v>
      </c>
      <c r="B22" t="s">
        <v>98</v>
      </c>
      <c r="C22" t="s">
        <v>99</v>
      </c>
      <c r="D22">
        <v>2026</v>
      </c>
      <c r="E22" t="s">
        <v>31</v>
      </c>
      <c r="F22" t="s">
        <v>11</v>
      </c>
      <c r="G22" s="1">
        <f t="shared" ca="1" si="0"/>
        <v>44381</v>
      </c>
      <c r="H22">
        <v>141790</v>
      </c>
      <c r="I22">
        <v>143365</v>
      </c>
      <c r="J22">
        <v>1575</v>
      </c>
      <c r="K22">
        <v>1798</v>
      </c>
      <c r="L22">
        <v>0</v>
      </c>
      <c r="M22">
        <v>0</v>
      </c>
      <c r="N22">
        <v>1798</v>
      </c>
      <c r="O22">
        <v>-223</v>
      </c>
      <c r="P22">
        <v>64942</v>
      </c>
      <c r="Q22">
        <v>0</v>
      </c>
      <c r="R22">
        <v>0</v>
      </c>
      <c r="S22">
        <v>64942</v>
      </c>
      <c r="T22">
        <v>13480</v>
      </c>
      <c r="U22">
        <v>800</v>
      </c>
      <c r="V22">
        <v>14881.741779530426</v>
      </c>
      <c r="W22">
        <v>0</v>
      </c>
      <c r="X22">
        <v>29161.741779530428</v>
      </c>
      <c r="Y22">
        <v>35780</v>
      </c>
      <c r="Z22">
        <v>55.1</v>
      </c>
    </row>
    <row r="23" spans="1:26" x14ac:dyDescent="0.25">
      <c r="A23">
        <v>22</v>
      </c>
      <c r="B23" t="s">
        <v>98</v>
      </c>
      <c r="C23" t="s">
        <v>99</v>
      </c>
      <c r="D23">
        <v>2026</v>
      </c>
      <c r="E23" t="s">
        <v>32</v>
      </c>
      <c r="F23" t="s">
        <v>11</v>
      </c>
      <c r="G23" s="1">
        <f t="shared" ca="1" si="0"/>
        <v>45537</v>
      </c>
      <c r="H23">
        <v>134347</v>
      </c>
      <c r="I23">
        <v>136660</v>
      </c>
      <c r="J23">
        <v>2313</v>
      </c>
      <c r="K23">
        <v>2470</v>
      </c>
      <c r="L23">
        <v>0</v>
      </c>
      <c r="M23">
        <v>0</v>
      </c>
      <c r="N23">
        <v>2470</v>
      </c>
      <c r="O23">
        <v>-157</v>
      </c>
      <c r="P23">
        <v>119160</v>
      </c>
      <c r="Q23">
        <v>0</v>
      </c>
      <c r="R23">
        <v>0</v>
      </c>
      <c r="S23">
        <v>119160</v>
      </c>
      <c r="T23">
        <v>18629</v>
      </c>
      <c r="U23">
        <v>11500</v>
      </c>
      <c r="V23">
        <v>27306.032312661231</v>
      </c>
      <c r="W23">
        <v>0</v>
      </c>
      <c r="X23">
        <v>57435.032312661235</v>
      </c>
      <c r="Y23">
        <v>61725</v>
      </c>
      <c r="Z23">
        <v>51.8</v>
      </c>
    </row>
    <row r="24" spans="1:26" x14ac:dyDescent="0.25">
      <c r="A24">
        <v>23</v>
      </c>
      <c r="B24" t="s">
        <v>98</v>
      </c>
      <c r="C24" t="s">
        <v>99</v>
      </c>
      <c r="D24">
        <v>2026</v>
      </c>
      <c r="E24" t="s">
        <v>33</v>
      </c>
      <c r="F24" t="s">
        <v>11</v>
      </c>
      <c r="G24" s="1">
        <f t="shared" ca="1" si="0"/>
        <v>44997</v>
      </c>
      <c r="H24">
        <v>109756</v>
      </c>
      <c r="I24">
        <v>112019</v>
      </c>
      <c r="J24">
        <v>2263</v>
      </c>
      <c r="K24">
        <v>2322</v>
      </c>
      <c r="L24">
        <v>0</v>
      </c>
      <c r="M24">
        <v>0</v>
      </c>
      <c r="N24">
        <v>2322</v>
      </c>
      <c r="O24">
        <v>-59</v>
      </c>
      <c r="P24">
        <v>123658</v>
      </c>
      <c r="Q24">
        <v>0</v>
      </c>
      <c r="R24">
        <v>0</v>
      </c>
      <c r="S24">
        <v>123658</v>
      </c>
      <c r="T24">
        <v>24745</v>
      </c>
      <c r="U24">
        <v>0</v>
      </c>
      <c r="V24">
        <v>28336.768577702773</v>
      </c>
      <c r="W24">
        <v>0</v>
      </c>
      <c r="X24">
        <v>53081.768577702773</v>
      </c>
      <c r="Y24">
        <v>70576</v>
      </c>
      <c r="Z24">
        <v>57.07</v>
      </c>
    </row>
    <row r="25" spans="1:26" x14ac:dyDescent="0.25">
      <c r="A25">
        <v>24</v>
      </c>
      <c r="B25" t="s">
        <v>98</v>
      </c>
      <c r="C25" t="s">
        <v>99</v>
      </c>
      <c r="D25">
        <v>2026</v>
      </c>
      <c r="E25" t="s">
        <v>34</v>
      </c>
      <c r="F25" t="s">
        <v>11</v>
      </c>
      <c r="G25" s="1">
        <f t="shared" ca="1" si="0"/>
        <v>45396</v>
      </c>
      <c r="H25">
        <v>97599</v>
      </c>
      <c r="I25">
        <v>99826</v>
      </c>
      <c r="J25">
        <v>2227</v>
      </c>
      <c r="K25">
        <v>370</v>
      </c>
      <c r="L25">
        <v>0</v>
      </c>
      <c r="M25">
        <v>1214</v>
      </c>
      <c r="N25">
        <v>1584</v>
      </c>
      <c r="O25">
        <v>643</v>
      </c>
      <c r="P25">
        <v>17615</v>
      </c>
      <c r="Q25">
        <v>0</v>
      </c>
      <c r="R25">
        <v>94396</v>
      </c>
      <c r="S25">
        <v>112011</v>
      </c>
      <c r="T25">
        <v>15075</v>
      </c>
      <c r="U25">
        <v>0</v>
      </c>
      <c r="V25">
        <v>25667.80786651139</v>
      </c>
      <c r="W25">
        <v>0</v>
      </c>
      <c r="X25">
        <v>40742.807866511386</v>
      </c>
      <c r="Y25">
        <v>71268</v>
      </c>
      <c r="Z25">
        <v>63.63</v>
      </c>
    </row>
    <row r="26" spans="1:26" x14ac:dyDescent="0.25">
      <c r="A26">
        <v>25</v>
      </c>
      <c r="B26" t="s">
        <v>98</v>
      </c>
      <c r="C26" t="s">
        <v>99</v>
      </c>
      <c r="D26">
        <v>2026</v>
      </c>
      <c r="E26" t="s">
        <v>35</v>
      </c>
      <c r="F26" t="s">
        <v>11</v>
      </c>
      <c r="G26" s="1">
        <f t="shared" ca="1" si="0"/>
        <v>45130</v>
      </c>
      <c r="H26">
        <v>147710</v>
      </c>
      <c r="I26">
        <v>151514</v>
      </c>
      <c r="J26">
        <v>3804</v>
      </c>
      <c r="K26">
        <v>3439</v>
      </c>
      <c r="L26">
        <v>0</v>
      </c>
      <c r="M26">
        <v>0</v>
      </c>
      <c r="N26">
        <v>3439</v>
      </c>
      <c r="O26">
        <v>365</v>
      </c>
      <c r="P26">
        <v>115818</v>
      </c>
      <c r="Q26">
        <v>0</v>
      </c>
      <c r="R26">
        <v>0</v>
      </c>
      <c r="S26">
        <v>115818</v>
      </c>
      <c r="T26">
        <v>34587</v>
      </c>
      <c r="U26">
        <v>28862</v>
      </c>
      <c r="V26">
        <v>26540.198475896261</v>
      </c>
      <c r="W26">
        <v>0</v>
      </c>
      <c r="X26">
        <v>89989.198475896264</v>
      </c>
      <c r="Y26">
        <v>25829</v>
      </c>
      <c r="Z26">
        <v>22.3</v>
      </c>
    </row>
    <row r="27" spans="1:26" x14ac:dyDescent="0.25">
      <c r="A27">
        <v>26</v>
      </c>
      <c r="B27" t="s">
        <v>98</v>
      </c>
      <c r="C27" t="s">
        <v>99</v>
      </c>
      <c r="D27">
        <v>2026</v>
      </c>
      <c r="E27" t="s">
        <v>36</v>
      </c>
      <c r="F27" t="s">
        <v>11</v>
      </c>
      <c r="G27" s="1">
        <f t="shared" ca="1" si="0"/>
        <v>44994</v>
      </c>
      <c r="H27">
        <v>178880</v>
      </c>
      <c r="I27">
        <v>179211</v>
      </c>
      <c r="J27">
        <v>331</v>
      </c>
      <c r="K27">
        <v>306</v>
      </c>
      <c r="L27">
        <v>0</v>
      </c>
      <c r="M27">
        <v>108</v>
      </c>
      <c r="N27">
        <v>414</v>
      </c>
      <c r="O27">
        <v>-83</v>
      </c>
      <c r="P27">
        <v>35200</v>
      </c>
      <c r="Q27">
        <v>0</v>
      </c>
      <c r="R27">
        <v>8710</v>
      </c>
      <c r="S27">
        <v>43910</v>
      </c>
      <c r="T27">
        <v>4171</v>
      </c>
      <c r="U27">
        <v>0</v>
      </c>
      <c r="V27">
        <v>10062.167496214792</v>
      </c>
      <c r="W27">
        <v>0</v>
      </c>
      <c r="X27">
        <v>14233.167496214792</v>
      </c>
      <c r="Y27">
        <v>29677</v>
      </c>
      <c r="Z27">
        <v>67.59</v>
      </c>
    </row>
    <row r="28" spans="1:26" x14ac:dyDescent="0.25">
      <c r="A28">
        <v>27</v>
      </c>
      <c r="B28" t="s">
        <v>98</v>
      </c>
      <c r="C28" t="s">
        <v>99</v>
      </c>
      <c r="D28">
        <v>2026</v>
      </c>
      <c r="E28" t="s">
        <v>37</v>
      </c>
      <c r="F28" t="s">
        <v>11</v>
      </c>
      <c r="G28" s="1">
        <f t="shared" ca="1" si="0"/>
        <v>45544</v>
      </c>
      <c r="H28">
        <v>169999</v>
      </c>
      <c r="I28">
        <v>170467</v>
      </c>
      <c r="J28">
        <v>468</v>
      </c>
      <c r="K28">
        <v>659</v>
      </c>
      <c r="L28">
        <v>0</v>
      </c>
      <c r="M28">
        <v>68</v>
      </c>
      <c r="N28">
        <v>727</v>
      </c>
      <c r="O28">
        <v>-259</v>
      </c>
      <c r="P28">
        <v>58544</v>
      </c>
      <c r="Q28">
        <v>0</v>
      </c>
      <c r="R28">
        <v>4355</v>
      </c>
      <c r="S28">
        <v>62899</v>
      </c>
      <c r="T28">
        <v>4008</v>
      </c>
      <c r="U28">
        <v>0</v>
      </c>
      <c r="V28">
        <v>14413.57944305202</v>
      </c>
      <c r="W28">
        <v>0</v>
      </c>
      <c r="X28">
        <v>18421.579443052018</v>
      </c>
      <c r="Y28">
        <v>44477</v>
      </c>
      <c r="Z28">
        <v>70.709999999999994</v>
      </c>
    </row>
    <row r="29" spans="1:26" x14ac:dyDescent="0.25">
      <c r="A29">
        <v>28</v>
      </c>
      <c r="B29" t="s">
        <v>98</v>
      </c>
      <c r="C29" t="s">
        <v>99</v>
      </c>
      <c r="D29">
        <v>2026</v>
      </c>
      <c r="E29" t="s">
        <v>38</v>
      </c>
      <c r="F29" t="s">
        <v>11</v>
      </c>
      <c r="G29" s="1">
        <f t="shared" ca="1" si="0"/>
        <v>44958</v>
      </c>
      <c r="H29">
        <v>73406</v>
      </c>
      <c r="I29">
        <v>76756</v>
      </c>
      <c r="J29">
        <v>3350</v>
      </c>
      <c r="K29">
        <v>3210</v>
      </c>
      <c r="L29">
        <v>0</v>
      </c>
      <c r="M29">
        <v>0</v>
      </c>
      <c r="N29">
        <v>3210</v>
      </c>
      <c r="O29">
        <v>140</v>
      </c>
      <c r="P29">
        <v>123923</v>
      </c>
      <c r="Q29">
        <v>0</v>
      </c>
      <c r="R29">
        <v>0</v>
      </c>
      <c r="S29">
        <v>123923</v>
      </c>
      <c r="T29">
        <v>30472</v>
      </c>
      <c r="U29">
        <v>3356</v>
      </c>
      <c r="V29">
        <v>28397.494480378631</v>
      </c>
      <c r="W29">
        <v>54695</v>
      </c>
      <c r="X29">
        <v>116920.49448037863</v>
      </c>
      <c r="Y29">
        <v>7003</v>
      </c>
      <c r="Z29">
        <v>5.65</v>
      </c>
    </row>
    <row r="30" spans="1:26" x14ac:dyDescent="0.25">
      <c r="A30">
        <v>29</v>
      </c>
      <c r="B30" t="s">
        <v>98</v>
      </c>
      <c r="C30" t="s">
        <v>99</v>
      </c>
      <c r="D30">
        <v>2026</v>
      </c>
      <c r="E30" t="s">
        <v>39</v>
      </c>
      <c r="F30" t="s">
        <v>11</v>
      </c>
      <c r="G30" s="1">
        <f t="shared" ca="1" si="0"/>
        <v>45781</v>
      </c>
      <c r="H30">
        <v>63208</v>
      </c>
      <c r="I30">
        <v>66063</v>
      </c>
      <c r="J30">
        <v>2855</v>
      </c>
      <c r="K30">
        <v>2863</v>
      </c>
      <c r="L30">
        <v>0</v>
      </c>
      <c r="M30">
        <v>0</v>
      </c>
      <c r="N30">
        <v>2863</v>
      </c>
      <c r="O30">
        <v>-8</v>
      </c>
      <c r="P30">
        <v>126307</v>
      </c>
      <c r="Q30">
        <v>0</v>
      </c>
      <c r="R30">
        <v>0</v>
      </c>
      <c r="S30">
        <v>126307</v>
      </c>
      <c r="T30">
        <v>25381</v>
      </c>
      <c r="U30">
        <v>0</v>
      </c>
      <c r="V30">
        <v>28943.79845011163</v>
      </c>
      <c r="W30">
        <v>48225</v>
      </c>
      <c r="X30">
        <v>102549.79845011163</v>
      </c>
      <c r="Y30">
        <v>23757</v>
      </c>
      <c r="Z30">
        <v>18.809999999999999</v>
      </c>
    </row>
    <row r="31" spans="1:26" x14ac:dyDescent="0.25">
      <c r="A31">
        <v>30</v>
      </c>
      <c r="B31" t="s">
        <v>98</v>
      </c>
      <c r="C31" t="s">
        <v>99</v>
      </c>
      <c r="D31">
        <v>2026</v>
      </c>
      <c r="E31" t="s">
        <v>40</v>
      </c>
      <c r="F31" t="s">
        <v>11</v>
      </c>
      <c r="G31" s="1">
        <f t="shared" ca="1" si="0"/>
        <v>45551</v>
      </c>
      <c r="H31">
        <v>48425</v>
      </c>
      <c r="I31">
        <v>51998</v>
      </c>
      <c r="J31">
        <v>3573</v>
      </c>
      <c r="K31">
        <v>3606</v>
      </c>
      <c r="L31">
        <v>0</v>
      </c>
      <c r="M31">
        <v>0</v>
      </c>
      <c r="N31">
        <v>3606</v>
      </c>
      <c r="O31">
        <v>-33</v>
      </c>
      <c r="P31">
        <v>145329</v>
      </c>
      <c r="Q31">
        <v>0</v>
      </c>
      <c r="R31">
        <v>0</v>
      </c>
      <c r="S31">
        <v>145329</v>
      </c>
      <c r="T31">
        <v>32318</v>
      </c>
      <c r="U31">
        <v>12008</v>
      </c>
      <c r="V31">
        <v>33302.772490489624</v>
      </c>
      <c r="W31">
        <v>48225</v>
      </c>
      <c r="X31">
        <v>125853.77249048962</v>
      </c>
      <c r="Y31">
        <v>19475</v>
      </c>
      <c r="Z31">
        <v>13.4</v>
      </c>
    </row>
    <row r="32" spans="1:26" x14ac:dyDescent="0.25">
      <c r="A32">
        <v>31</v>
      </c>
      <c r="B32" t="s">
        <v>98</v>
      </c>
      <c r="C32" t="s">
        <v>99</v>
      </c>
      <c r="D32">
        <v>2026</v>
      </c>
      <c r="E32" t="s">
        <v>41</v>
      </c>
      <c r="F32" t="s">
        <v>11</v>
      </c>
      <c r="G32" s="1">
        <f t="shared" ca="1" si="0"/>
        <v>44488</v>
      </c>
      <c r="H32">
        <v>55998</v>
      </c>
      <c r="I32">
        <v>60996</v>
      </c>
      <c r="J32">
        <v>4998</v>
      </c>
      <c r="K32">
        <v>4271</v>
      </c>
      <c r="L32">
        <v>0</v>
      </c>
      <c r="M32">
        <v>0</v>
      </c>
      <c r="N32">
        <v>4271</v>
      </c>
      <c r="O32">
        <v>727</v>
      </c>
      <c r="P32">
        <v>162059</v>
      </c>
      <c r="Q32">
        <v>0</v>
      </c>
      <c r="R32">
        <v>0</v>
      </c>
      <c r="S32">
        <v>162059</v>
      </c>
      <c r="T32">
        <v>37604</v>
      </c>
      <c r="U32">
        <v>14917</v>
      </c>
      <c r="V32">
        <v>37136.52476130888</v>
      </c>
      <c r="W32">
        <v>48225</v>
      </c>
      <c r="X32">
        <v>137882.52476130889</v>
      </c>
      <c r="Y32">
        <v>24176</v>
      </c>
      <c r="Z32">
        <v>14.92</v>
      </c>
    </row>
    <row r="33" spans="1:26" x14ac:dyDescent="0.25">
      <c r="A33">
        <v>32</v>
      </c>
      <c r="B33" t="s">
        <v>98</v>
      </c>
      <c r="C33" t="s">
        <v>99</v>
      </c>
      <c r="D33">
        <v>2026</v>
      </c>
      <c r="E33" t="s">
        <v>42</v>
      </c>
      <c r="F33" t="s">
        <v>11</v>
      </c>
      <c r="G33" s="1">
        <f t="shared" ca="1" si="0"/>
        <v>45092</v>
      </c>
      <c r="H33">
        <v>75009</v>
      </c>
      <c r="I33">
        <v>78443</v>
      </c>
      <c r="J33">
        <v>3434</v>
      </c>
      <c r="K33">
        <v>2769</v>
      </c>
      <c r="L33">
        <v>0</v>
      </c>
      <c r="M33">
        <v>0</v>
      </c>
      <c r="N33">
        <v>2769</v>
      </c>
      <c r="O33">
        <v>665</v>
      </c>
      <c r="P33">
        <v>99716</v>
      </c>
      <c r="Q33">
        <v>0</v>
      </c>
      <c r="R33">
        <v>0</v>
      </c>
      <c r="S33">
        <v>99716</v>
      </c>
      <c r="T33">
        <v>24474</v>
      </c>
      <c r="U33">
        <v>2500</v>
      </c>
      <c r="V33">
        <v>22850.355136701302</v>
      </c>
      <c r="W33">
        <v>0</v>
      </c>
      <c r="X33">
        <v>49824.355136701299</v>
      </c>
      <c r="Y33">
        <v>49892</v>
      </c>
      <c r="Z33">
        <v>50.03</v>
      </c>
    </row>
    <row r="34" spans="1:26" x14ac:dyDescent="0.25">
      <c r="A34">
        <v>33</v>
      </c>
      <c r="B34" t="s">
        <v>98</v>
      </c>
      <c r="C34" t="s">
        <v>99</v>
      </c>
      <c r="D34">
        <v>2026</v>
      </c>
      <c r="E34" t="s">
        <v>43</v>
      </c>
      <c r="F34" t="s">
        <v>11</v>
      </c>
      <c r="G34" s="1">
        <f t="shared" ca="1" si="0"/>
        <v>44581</v>
      </c>
      <c r="H34">
        <v>43770</v>
      </c>
      <c r="I34">
        <v>47926</v>
      </c>
      <c r="J34">
        <v>4156</v>
      </c>
      <c r="K34">
        <v>4076</v>
      </c>
      <c r="L34">
        <v>0</v>
      </c>
      <c r="M34">
        <v>0</v>
      </c>
      <c r="N34">
        <v>4076</v>
      </c>
      <c r="O34">
        <v>80</v>
      </c>
      <c r="P34">
        <v>146053</v>
      </c>
      <c r="Q34">
        <v>0</v>
      </c>
      <c r="R34">
        <v>0</v>
      </c>
      <c r="S34">
        <v>146053</v>
      </c>
      <c r="T34">
        <v>39832</v>
      </c>
      <c r="U34">
        <v>1500</v>
      </c>
      <c r="V34">
        <v>33468.680239687063</v>
      </c>
      <c r="W34">
        <v>57590</v>
      </c>
      <c r="X34">
        <v>132390.68023968706</v>
      </c>
      <c r="Y34">
        <v>13662</v>
      </c>
      <c r="Z34">
        <v>9.35</v>
      </c>
    </row>
    <row r="35" spans="1:26" x14ac:dyDescent="0.25">
      <c r="A35">
        <v>34</v>
      </c>
      <c r="B35" t="s">
        <v>98</v>
      </c>
      <c r="C35" t="s">
        <v>99</v>
      </c>
      <c r="D35">
        <v>2026</v>
      </c>
      <c r="E35" t="s">
        <v>44</v>
      </c>
      <c r="F35" t="s">
        <v>11</v>
      </c>
      <c r="G35" s="1">
        <f t="shared" ca="1" si="0"/>
        <v>45405</v>
      </c>
      <c r="H35">
        <v>38662</v>
      </c>
      <c r="I35">
        <v>42200</v>
      </c>
      <c r="J35">
        <v>3538</v>
      </c>
      <c r="K35">
        <v>3623</v>
      </c>
      <c r="L35">
        <v>0</v>
      </c>
      <c r="M35">
        <v>0</v>
      </c>
      <c r="N35">
        <v>3623</v>
      </c>
      <c r="O35">
        <v>-85</v>
      </c>
      <c r="P35">
        <v>148647</v>
      </c>
      <c r="Q35">
        <v>0</v>
      </c>
      <c r="R35">
        <v>0</v>
      </c>
      <c r="S35">
        <v>148647</v>
      </c>
      <c r="T35">
        <v>33608</v>
      </c>
      <c r="U35">
        <v>23222</v>
      </c>
      <c r="V35">
        <v>34063.106622861313</v>
      </c>
      <c r="W35">
        <v>56604</v>
      </c>
      <c r="X35">
        <v>147497.10662286132</v>
      </c>
      <c r="Y35">
        <v>1150</v>
      </c>
      <c r="Z35">
        <v>0.77</v>
      </c>
    </row>
    <row r="36" spans="1:26" x14ac:dyDescent="0.25">
      <c r="A36">
        <v>35</v>
      </c>
      <c r="B36" t="s">
        <v>98</v>
      </c>
      <c r="C36" t="s">
        <v>99</v>
      </c>
      <c r="D36">
        <v>2026</v>
      </c>
      <c r="E36" t="s">
        <v>45</v>
      </c>
      <c r="F36" t="s">
        <v>11</v>
      </c>
      <c r="G36" s="1">
        <f t="shared" ca="1" si="0"/>
        <v>45671</v>
      </c>
      <c r="H36">
        <v>84114</v>
      </c>
      <c r="I36">
        <v>87787</v>
      </c>
      <c r="J36">
        <v>3673</v>
      </c>
      <c r="K36">
        <v>4175</v>
      </c>
      <c r="L36">
        <v>0</v>
      </c>
      <c r="M36">
        <v>0</v>
      </c>
      <c r="N36">
        <v>4175</v>
      </c>
      <c r="O36">
        <v>-502</v>
      </c>
      <c r="P36">
        <v>198524</v>
      </c>
      <c r="Q36">
        <v>0</v>
      </c>
      <c r="R36">
        <v>0</v>
      </c>
      <c r="S36">
        <v>198524</v>
      </c>
      <c r="T36">
        <v>29858</v>
      </c>
      <c r="U36">
        <v>0</v>
      </c>
      <c r="V36">
        <v>45492.638123856646</v>
      </c>
      <c r="W36">
        <v>54060</v>
      </c>
      <c r="X36">
        <v>129410.63812385665</v>
      </c>
      <c r="Y36">
        <v>69113</v>
      </c>
      <c r="Z36">
        <v>34.81</v>
      </c>
    </row>
    <row r="37" spans="1:26" x14ac:dyDescent="0.25">
      <c r="A37">
        <v>36</v>
      </c>
      <c r="B37" t="s">
        <v>98</v>
      </c>
      <c r="C37" t="s">
        <v>99</v>
      </c>
      <c r="D37">
        <v>2026</v>
      </c>
      <c r="E37" t="s">
        <v>46</v>
      </c>
      <c r="F37" t="s">
        <v>11</v>
      </c>
      <c r="G37" s="1">
        <f t="shared" ca="1" si="0"/>
        <v>44401</v>
      </c>
      <c r="H37">
        <v>78331</v>
      </c>
      <c r="I37">
        <v>81136</v>
      </c>
      <c r="J37">
        <v>2805</v>
      </c>
      <c r="K37">
        <v>3098</v>
      </c>
      <c r="L37">
        <v>0</v>
      </c>
      <c r="M37">
        <v>0</v>
      </c>
      <c r="N37">
        <v>3098</v>
      </c>
      <c r="O37">
        <v>-293</v>
      </c>
      <c r="P37">
        <v>119387</v>
      </c>
      <c r="Q37">
        <v>0</v>
      </c>
      <c r="R37">
        <v>0</v>
      </c>
      <c r="S37">
        <v>119387</v>
      </c>
      <c r="T37">
        <v>28940</v>
      </c>
      <c r="U37">
        <v>7200</v>
      </c>
      <c r="V37">
        <v>27358.050350047721</v>
      </c>
      <c r="W37">
        <v>0</v>
      </c>
      <c r="X37">
        <v>63498.050350047721</v>
      </c>
      <c r="Y37">
        <v>55889</v>
      </c>
      <c r="Z37">
        <v>46.81</v>
      </c>
    </row>
    <row r="38" spans="1:26" x14ac:dyDescent="0.25">
      <c r="A38">
        <v>37</v>
      </c>
      <c r="B38" t="s">
        <v>98</v>
      </c>
      <c r="C38" t="s">
        <v>99</v>
      </c>
      <c r="D38">
        <v>2026</v>
      </c>
      <c r="E38" t="s">
        <v>47</v>
      </c>
      <c r="F38" t="s">
        <v>48</v>
      </c>
      <c r="G38" s="1">
        <f t="shared" ca="1" si="0"/>
        <v>44552</v>
      </c>
      <c r="H38">
        <v>95736</v>
      </c>
      <c r="I38">
        <v>96434</v>
      </c>
      <c r="J38">
        <v>698</v>
      </c>
      <c r="K38">
        <v>725</v>
      </c>
      <c r="L38">
        <v>0</v>
      </c>
      <c r="M38">
        <v>0</v>
      </c>
      <c r="N38">
        <v>725</v>
      </c>
      <c r="O38">
        <v>-27</v>
      </c>
      <c r="P38">
        <v>29507</v>
      </c>
      <c r="Q38">
        <v>0</v>
      </c>
      <c r="R38">
        <v>0</v>
      </c>
      <c r="S38">
        <v>29507</v>
      </c>
      <c r="T38">
        <v>3151</v>
      </c>
      <c r="U38">
        <v>0</v>
      </c>
      <c r="V38">
        <v>6761.6573971944854</v>
      </c>
      <c r="W38">
        <v>0</v>
      </c>
      <c r="X38">
        <v>9912.6573971944854</v>
      </c>
      <c r="Y38">
        <v>19594</v>
      </c>
      <c r="Z38">
        <v>66.41</v>
      </c>
    </row>
    <row r="39" spans="1:26" x14ac:dyDescent="0.25">
      <c r="A39">
        <v>38</v>
      </c>
      <c r="B39" t="s">
        <v>98</v>
      </c>
      <c r="C39" t="s">
        <v>99</v>
      </c>
      <c r="D39">
        <v>2026</v>
      </c>
      <c r="E39" t="s">
        <v>49</v>
      </c>
      <c r="F39" t="s">
        <v>50</v>
      </c>
      <c r="G39" s="1">
        <f t="shared" ca="1" si="0"/>
        <v>45027</v>
      </c>
      <c r="H39">
        <v>10622</v>
      </c>
      <c r="I39">
        <v>11303</v>
      </c>
      <c r="J39">
        <v>681</v>
      </c>
      <c r="K39">
        <v>0</v>
      </c>
      <c r="L39">
        <v>0</v>
      </c>
      <c r="M39">
        <v>681</v>
      </c>
      <c r="N39">
        <v>681</v>
      </c>
      <c r="O39">
        <v>0</v>
      </c>
      <c r="P39">
        <v>0</v>
      </c>
      <c r="Q39">
        <v>0</v>
      </c>
      <c r="R39">
        <v>71021</v>
      </c>
      <c r="S39">
        <v>71021</v>
      </c>
      <c r="T39">
        <v>0</v>
      </c>
      <c r="U39">
        <v>0</v>
      </c>
      <c r="V39">
        <v>16274.771071479634</v>
      </c>
      <c r="W39">
        <v>48260</v>
      </c>
      <c r="X39">
        <v>64534.771071479634</v>
      </c>
      <c r="Y39">
        <v>6486</v>
      </c>
      <c r="Z39">
        <v>9.1300000000000008</v>
      </c>
    </row>
    <row r="40" spans="1:26" x14ac:dyDescent="0.25">
      <c r="A40">
        <v>39</v>
      </c>
      <c r="B40" t="s">
        <v>98</v>
      </c>
      <c r="C40" t="s">
        <v>99</v>
      </c>
      <c r="D40">
        <v>2026</v>
      </c>
      <c r="E40" t="s">
        <v>51</v>
      </c>
      <c r="F40" t="s">
        <v>52</v>
      </c>
      <c r="G40" s="1">
        <f t="shared" ca="1" si="0"/>
        <v>45333</v>
      </c>
      <c r="H40">
        <v>63929</v>
      </c>
      <c r="I40">
        <v>64365</v>
      </c>
      <c r="J40">
        <v>436</v>
      </c>
      <c r="K40">
        <v>662</v>
      </c>
      <c r="L40">
        <v>0</v>
      </c>
      <c r="M40">
        <v>0</v>
      </c>
      <c r="N40">
        <v>662</v>
      </c>
      <c r="O40">
        <v>-226</v>
      </c>
      <c r="P40">
        <v>66850</v>
      </c>
      <c r="Q40">
        <v>0</v>
      </c>
      <c r="R40">
        <v>0</v>
      </c>
      <c r="S40">
        <v>66850</v>
      </c>
      <c r="T40">
        <v>4752</v>
      </c>
      <c r="U40">
        <v>4000</v>
      </c>
      <c r="V40">
        <v>15318.968278796603</v>
      </c>
      <c r="W40">
        <v>0</v>
      </c>
      <c r="X40">
        <v>24070.968278796601</v>
      </c>
      <c r="Y40">
        <v>42779</v>
      </c>
      <c r="Z40">
        <v>63.99</v>
      </c>
    </row>
    <row r="41" spans="1:26" x14ac:dyDescent="0.25">
      <c r="A41">
        <v>40</v>
      </c>
      <c r="B41" t="s">
        <v>98</v>
      </c>
      <c r="C41" t="s">
        <v>99</v>
      </c>
      <c r="D41">
        <v>2026</v>
      </c>
      <c r="E41" t="s">
        <v>53</v>
      </c>
      <c r="F41" t="s">
        <v>54</v>
      </c>
      <c r="G41" s="1">
        <f t="shared" ca="1" si="0"/>
        <v>44945</v>
      </c>
      <c r="H41">
        <v>36051</v>
      </c>
      <c r="I41">
        <v>37610</v>
      </c>
      <c r="J41">
        <v>1559</v>
      </c>
      <c r="K41">
        <v>823</v>
      </c>
      <c r="L41">
        <v>0</v>
      </c>
      <c r="M41">
        <v>1077</v>
      </c>
      <c r="N41">
        <v>1900</v>
      </c>
      <c r="O41">
        <v>-341</v>
      </c>
      <c r="P41">
        <v>27496</v>
      </c>
      <c r="Q41">
        <v>0</v>
      </c>
      <c r="R41">
        <v>63150</v>
      </c>
      <c r="S41">
        <v>90646</v>
      </c>
      <c r="T41">
        <v>0</v>
      </c>
      <c r="U41">
        <v>0</v>
      </c>
      <c r="V41">
        <v>20771.925184738921</v>
      </c>
      <c r="W41">
        <v>32250</v>
      </c>
      <c r="X41">
        <v>53021.925184738924</v>
      </c>
      <c r="Y41">
        <v>37624</v>
      </c>
      <c r="Z41">
        <v>41.51</v>
      </c>
    </row>
    <row r="42" spans="1:26" x14ac:dyDescent="0.25">
      <c r="A42">
        <v>41</v>
      </c>
      <c r="B42" t="s">
        <v>98</v>
      </c>
      <c r="C42" t="s">
        <v>99</v>
      </c>
      <c r="D42">
        <v>2026</v>
      </c>
      <c r="E42" t="s">
        <v>55</v>
      </c>
      <c r="F42" t="s">
        <v>54</v>
      </c>
      <c r="G42" s="1">
        <f t="shared" ca="1" si="0"/>
        <v>44871</v>
      </c>
      <c r="H42">
        <v>38606</v>
      </c>
      <c r="I42">
        <v>39736</v>
      </c>
      <c r="J42">
        <v>1130</v>
      </c>
      <c r="K42">
        <v>0</v>
      </c>
      <c r="L42">
        <v>0</v>
      </c>
      <c r="M42">
        <v>1130</v>
      </c>
      <c r="N42">
        <v>1130</v>
      </c>
      <c r="O42">
        <v>0</v>
      </c>
      <c r="P42">
        <v>0</v>
      </c>
      <c r="Q42">
        <v>0</v>
      </c>
      <c r="R42">
        <v>62000</v>
      </c>
      <c r="S42">
        <v>62000</v>
      </c>
      <c r="T42">
        <v>0</v>
      </c>
      <c r="U42">
        <v>0</v>
      </c>
      <c r="V42">
        <v>14207.569682653544</v>
      </c>
      <c r="W42">
        <v>32250</v>
      </c>
      <c r="X42">
        <v>46457.569682653542</v>
      </c>
      <c r="Y42">
        <v>15542</v>
      </c>
      <c r="Z42">
        <v>25.07</v>
      </c>
    </row>
    <row r="43" spans="1:26" x14ac:dyDescent="0.25">
      <c r="A43">
        <v>42</v>
      </c>
      <c r="B43" t="s">
        <v>98</v>
      </c>
      <c r="C43" t="s">
        <v>99</v>
      </c>
      <c r="D43">
        <v>2026</v>
      </c>
      <c r="E43" t="s">
        <v>56</v>
      </c>
      <c r="F43" t="s">
        <v>57</v>
      </c>
      <c r="G43" s="1">
        <f t="shared" ca="1" si="0"/>
        <v>44403</v>
      </c>
      <c r="H43">
        <v>75231</v>
      </c>
      <c r="I43">
        <v>77197</v>
      </c>
      <c r="J43">
        <v>1966</v>
      </c>
      <c r="K43">
        <v>1924</v>
      </c>
      <c r="L43">
        <v>0</v>
      </c>
      <c r="M43">
        <v>0</v>
      </c>
      <c r="N43">
        <v>1924</v>
      </c>
      <c r="O43">
        <v>42</v>
      </c>
      <c r="P43">
        <v>70314</v>
      </c>
      <c r="Q43">
        <v>0</v>
      </c>
      <c r="R43">
        <v>0</v>
      </c>
      <c r="S43">
        <v>70314</v>
      </c>
      <c r="T43">
        <v>16759</v>
      </c>
      <c r="U43">
        <v>4970</v>
      </c>
      <c r="V43">
        <v>16112.758946227439</v>
      </c>
      <c r="W43">
        <v>0</v>
      </c>
      <c r="X43">
        <v>37841.758946227441</v>
      </c>
      <c r="Y43">
        <v>32472</v>
      </c>
      <c r="Z43">
        <v>46.18</v>
      </c>
    </row>
    <row r="44" spans="1:26" x14ac:dyDescent="0.25">
      <c r="A44">
        <v>43</v>
      </c>
      <c r="B44" t="s">
        <v>98</v>
      </c>
      <c r="C44" t="s">
        <v>99</v>
      </c>
      <c r="D44">
        <v>2026</v>
      </c>
      <c r="E44" t="s">
        <v>58</v>
      </c>
      <c r="F44" t="s">
        <v>57</v>
      </c>
      <c r="G44" s="1">
        <f t="shared" ca="1" si="0"/>
        <v>45436</v>
      </c>
      <c r="H44">
        <v>88961</v>
      </c>
      <c r="I44">
        <v>91491</v>
      </c>
      <c r="J44">
        <v>2530</v>
      </c>
      <c r="K44">
        <v>2349</v>
      </c>
      <c r="L44">
        <v>0</v>
      </c>
      <c r="M44">
        <v>0</v>
      </c>
      <c r="N44">
        <v>2349</v>
      </c>
      <c r="O44">
        <v>181</v>
      </c>
      <c r="P44">
        <v>83268</v>
      </c>
      <c r="Q44">
        <v>0</v>
      </c>
      <c r="R44">
        <v>0</v>
      </c>
      <c r="S44">
        <v>83268</v>
      </c>
      <c r="T44">
        <v>15484</v>
      </c>
      <c r="U44">
        <v>13260</v>
      </c>
      <c r="V44">
        <v>19081.224392503151</v>
      </c>
      <c r="W44">
        <v>12601</v>
      </c>
      <c r="X44">
        <v>60426.224392503151</v>
      </c>
      <c r="Y44">
        <v>22842</v>
      </c>
      <c r="Z44">
        <v>27.43</v>
      </c>
    </row>
    <row r="45" spans="1:26" x14ac:dyDescent="0.25">
      <c r="A45">
        <v>44</v>
      </c>
      <c r="B45" t="s">
        <v>98</v>
      </c>
      <c r="C45" t="s">
        <v>99</v>
      </c>
      <c r="D45">
        <v>2026</v>
      </c>
      <c r="E45" t="s">
        <v>59</v>
      </c>
      <c r="F45" t="s">
        <v>57</v>
      </c>
      <c r="G45" s="1">
        <f t="shared" ca="1" si="0"/>
        <v>45660</v>
      </c>
      <c r="H45">
        <v>92371</v>
      </c>
      <c r="I45">
        <v>94604</v>
      </c>
      <c r="J45">
        <v>2233</v>
      </c>
      <c r="K45">
        <v>2394</v>
      </c>
      <c r="L45">
        <v>0</v>
      </c>
      <c r="M45">
        <v>0</v>
      </c>
      <c r="N45">
        <v>2394</v>
      </c>
      <c r="O45">
        <v>-161</v>
      </c>
      <c r="P45">
        <v>70803</v>
      </c>
      <c r="Q45">
        <v>0</v>
      </c>
      <c r="R45">
        <v>0</v>
      </c>
      <c r="S45">
        <v>70803</v>
      </c>
      <c r="T45">
        <v>15477</v>
      </c>
      <c r="U45">
        <v>13184</v>
      </c>
      <c r="V45">
        <v>16224.815423240627</v>
      </c>
      <c r="W45">
        <v>0</v>
      </c>
      <c r="X45">
        <v>44885.815423240623</v>
      </c>
      <c r="Y45">
        <v>25917</v>
      </c>
      <c r="Z45">
        <v>36.6</v>
      </c>
    </row>
    <row r="46" spans="1:26" x14ac:dyDescent="0.25">
      <c r="A46">
        <v>45</v>
      </c>
      <c r="B46" t="s">
        <v>98</v>
      </c>
      <c r="C46" t="s">
        <v>99</v>
      </c>
      <c r="D46">
        <v>2026</v>
      </c>
      <c r="E46" t="s">
        <v>60</v>
      </c>
      <c r="F46" t="s">
        <v>57</v>
      </c>
      <c r="G46" s="1">
        <f t="shared" ca="1" si="0"/>
        <v>45072</v>
      </c>
      <c r="H46">
        <v>42930</v>
      </c>
      <c r="I46">
        <v>46934</v>
      </c>
      <c r="J46">
        <v>4004</v>
      </c>
      <c r="K46">
        <v>3394</v>
      </c>
      <c r="L46">
        <v>0</v>
      </c>
      <c r="M46">
        <v>0</v>
      </c>
      <c r="N46">
        <v>3394</v>
      </c>
      <c r="O46">
        <v>610</v>
      </c>
      <c r="P46">
        <v>82852</v>
      </c>
      <c r="Q46">
        <v>0</v>
      </c>
      <c r="R46">
        <v>0</v>
      </c>
      <c r="S46">
        <v>82852</v>
      </c>
      <c r="T46">
        <v>33997</v>
      </c>
      <c r="U46">
        <v>0</v>
      </c>
      <c r="V46">
        <v>18985.89618301954</v>
      </c>
      <c r="W46">
        <v>19745</v>
      </c>
      <c r="X46">
        <v>72727.896183019533</v>
      </c>
      <c r="Y46">
        <v>10124</v>
      </c>
      <c r="Z46">
        <v>12.22</v>
      </c>
    </row>
    <row r="47" spans="1:26" x14ac:dyDescent="0.25">
      <c r="A47">
        <v>46</v>
      </c>
      <c r="B47" t="s">
        <v>98</v>
      </c>
      <c r="C47" t="s">
        <v>99</v>
      </c>
      <c r="D47">
        <v>2026</v>
      </c>
      <c r="E47" t="s">
        <v>61</v>
      </c>
      <c r="F47" t="s">
        <v>57</v>
      </c>
      <c r="G47" s="1">
        <f t="shared" ca="1" si="0"/>
        <v>44570</v>
      </c>
      <c r="H47">
        <v>107244</v>
      </c>
      <c r="I47">
        <v>108053</v>
      </c>
      <c r="J47">
        <v>809</v>
      </c>
      <c r="K47">
        <v>798</v>
      </c>
      <c r="L47">
        <v>0</v>
      </c>
      <c r="M47">
        <v>0</v>
      </c>
      <c r="N47">
        <v>798</v>
      </c>
      <c r="O47">
        <v>11</v>
      </c>
      <c r="P47">
        <v>18559</v>
      </c>
      <c r="Q47">
        <v>0</v>
      </c>
      <c r="R47">
        <v>0</v>
      </c>
      <c r="S47">
        <v>18559</v>
      </c>
      <c r="U47">
        <v>0</v>
      </c>
      <c r="V47">
        <v>4252.8755764575344</v>
      </c>
      <c r="W47">
        <v>0</v>
      </c>
      <c r="X47">
        <v>4252.8755764575344</v>
      </c>
      <c r="Y47">
        <v>14306</v>
      </c>
      <c r="Z47">
        <v>77.08</v>
      </c>
    </row>
    <row r="48" spans="1:26" x14ac:dyDescent="0.25">
      <c r="A48">
        <v>47</v>
      </c>
      <c r="B48" t="s">
        <v>98</v>
      </c>
      <c r="C48" t="s">
        <v>99</v>
      </c>
      <c r="D48">
        <v>2026</v>
      </c>
      <c r="E48" t="s">
        <v>62</v>
      </c>
      <c r="F48" t="s">
        <v>63</v>
      </c>
      <c r="G48" s="1">
        <f t="shared" ca="1" si="0"/>
        <v>44453</v>
      </c>
      <c r="H48">
        <v>86003</v>
      </c>
      <c r="I48">
        <v>87847</v>
      </c>
      <c r="J48">
        <v>1844</v>
      </c>
      <c r="K48">
        <v>1981</v>
      </c>
      <c r="L48">
        <v>0</v>
      </c>
      <c r="M48">
        <v>0</v>
      </c>
      <c r="N48">
        <v>1981</v>
      </c>
      <c r="O48">
        <v>-137</v>
      </c>
      <c r="P48">
        <v>74781</v>
      </c>
      <c r="Q48">
        <v>0</v>
      </c>
      <c r="R48">
        <v>0</v>
      </c>
      <c r="S48">
        <v>74781</v>
      </c>
      <c r="T48">
        <v>0</v>
      </c>
      <c r="U48">
        <v>0</v>
      </c>
      <c r="V48">
        <v>17136.391426427657</v>
      </c>
      <c r="W48">
        <v>74534</v>
      </c>
      <c r="X48">
        <v>91670.391426427654</v>
      </c>
      <c r="Y48">
        <v>-16889</v>
      </c>
      <c r="Z48">
        <v>-22.59</v>
      </c>
    </row>
    <row r="49" spans="1:26" x14ac:dyDescent="0.25">
      <c r="A49">
        <v>48</v>
      </c>
      <c r="B49" t="s">
        <v>98</v>
      </c>
      <c r="C49" t="s">
        <v>99</v>
      </c>
      <c r="D49">
        <v>2026</v>
      </c>
      <c r="E49" t="s">
        <v>64</v>
      </c>
      <c r="F49" t="s">
        <v>65</v>
      </c>
      <c r="G49" s="1">
        <f t="shared" ca="1" si="0"/>
        <v>45508</v>
      </c>
      <c r="H49">
        <v>82256</v>
      </c>
      <c r="I49">
        <v>84828</v>
      </c>
      <c r="J49">
        <v>2572</v>
      </c>
      <c r="K49">
        <v>3222</v>
      </c>
      <c r="L49">
        <v>0</v>
      </c>
      <c r="M49">
        <v>0</v>
      </c>
      <c r="N49">
        <v>3222</v>
      </c>
      <c r="O49">
        <v>-650</v>
      </c>
      <c r="P49">
        <v>103500</v>
      </c>
      <c r="Q49">
        <v>0</v>
      </c>
      <c r="R49">
        <v>0</v>
      </c>
      <c r="S49">
        <v>103500</v>
      </c>
      <c r="T49">
        <v>0</v>
      </c>
      <c r="U49">
        <v>0</v>
      </c>
      <c r="V49">
        <v>23717.475196042611</v>
      </c>
      <c r="W49">
        <v>0</v>
      </c>
      <c r="X49">
        <v>23717.475196042611</v>
      </c>
      <c r="Y49">
        <v>79783</v>
      </c>
      <c r="Z49">
        <v>77.08</v>
      </c>
    </row>
    <row r="50" spans="1:26" x14ac:dyDescent="0.25">
      <c r="A50">
        <v>49</v>
      </c>
      <c r="B50" t="s">
        <v>98</v>
      </c>
      <c r="C50" t="s">
        <v>99</v>
      </c>
      <c r="D50">
        <v>2026</v>
      </c>
      <c r="E50" t="s">
        <v>66</v>
      </c>
      <c r="F50" t="s">
        <v>65</v>
      </c>
      <c r="G50" s="1">
        <f t="shared" ca="1" si="0"/>
        <v>45620</v>
      </c>
      <c r="H50">
        <v>66634</v>
      </c>
      <c r="I50">
        <v>68837</v>
      </c>
      <c r="J50">
        <v>2203</v>
      </c>
      <c r="K50">
        <v>2428</v>
      </c>
      <c r="L50">
        <v>0</v>
      </c>
      <c r="M50">
        <v>0</v>
      </c>
      <c r="N50">
        <v>2428</v>
      </c>
      <c r="O50">
        <v>-225</v>
      </c>
      <c r="P50">
        <v>109789</v>
      </c>
      <c r="Q50">
        <v>0</v>
      </c>
      <c r="R50">
        <v>0</v>
      </c>
      <c r="S50">
        <v>109789</v>
      </c>
      <c r="T50">
        <v>0</v>
      </c>
      <c r="U50">
        <v>0</v>
      </c>
      <c r="V50">
        <v>25158.626901433065</v>
      </c>
      <c r="W50">
        <v>0</v>
      </c>
      <c r="X50">
        <v>25158.626901433065</v>
      </c>
      <c r="Y50">
        <v>84630</v>
      </c>
      <c r="Z50">
        <v>77.08</v>
      </c>
    </row>
    <row r="51" spans="1:26" x14ac:dyDescent="0.25">
      <c r="A51">
        <v>50</v>
      </c>
      <c r="B51" t="s">
        <v>98</v>
      </c>
      <c r="C51" t="s">
        <v>99</v>
      </c>
      <c r="D51">
        <v>2026</v>
      </c>
      <c r="E51" t="s">
        <v>67</v>
      </c>
      <c r="F51" t="s">
        <v>68</v>
      </c>
      <c r="G51" s="1">
        <f t="shared" ca="1" si="0"/>
        <v>44560</v>
      </c>
      <c r="H51">
        <v>43347</v>
      </c>
      <c r="I51">
        <v>43638</v>
      </c>
      <c r="J51">
        <v>291</v>
      </c>
      <c r="K51">
        <v>291</v>
      </c>
      <c r="L51">
        <v>0</v>
      </c>
      <c r="M51">
        <v>0</v>
      </c>
      <c r="N51">
        <v>291</v>
      </c>
      <c r="O51">
        <v>0</v>
      </c>
      <c r="P51">
        <v>115460</v>
      </c>
      <c r="Q51">
        <v>0</v>
      </c>
      <c r="R51">
        <v>0</v>
      </c>
      <c r="S51">
        <v>115460</v>
      </c>
      <c r="T51">
        <v>3689</v>
      </c>
      <c r="U51">
        <v>14100</v>
      </c>
      <c r="V51">
        <v>26458.161218696423</v>
      </c>
      <c r="W51">
        <v>91042</v>
      </c>
      <c r="X51">
        <v>135289.16121869642</v>
      </c>
      <c r="Y51">
        <v>-19829</v>
      </c>
      <c r="Z51">
        <v>-17.170000000000002</v>
      </c>
    </row>
    <row r="52" spans="1:26" x14ac:dyDescent="0.25">
      <c r="A52">
        <v>51</v>
      </c>
      <c r="B52" t="s">
        <v>98</v>
      </c>
      <c r="C52" t="s">
        <v>99</v>
      </c>
      <c r="D52">
        <v>2026</v>
      </c>
      <c r="E52" t="s">
        <v>69</v>
      </c>
      <c r="F52" t="s">
        <v>68</v>
      </c>
      <c r="G52" s="1">
        <f t="shared" ca="1" si="0"/>
        <v>45717</v>
      </c>
      <c r="H52">
        <v>34241</v>
      </c>
      <c r="I52">
        <v>34386</v>
      </c>
      <c r="J52">
        <v>145</v>
      </c>
      <c r="K52">
        <v>145</v>
      </c>
      <c r="L52">
        <v>0</v>
      </c>
      <c r="M52">
        <v>0</v>
      </c>
      <c r="N52">
        <v>145</v>
      </c>
      <c r="O52">
        <v>0</v>
      </c>
      <c r="P52">
        <v>103400</v>
      </c>
      <c r="Q52">
        <v>0</v>
      </c>
      <c r="R52">
        <v>0</v>
      </c>
      <c r="S52">
        <v>103400</v>
      </c>
      <c r="T52">
        <v>3318</v>
      </c>
      <c r="U52">
        <v>700</v>
      </c>
      <c r="V52">
        <v>23694.559761070588</v>
      </c>
      <c r="W52">
        <v>91042</v>
      </c>
      <c r="X52">
        <v>118754.55976107059</v>
      </c>
      <c r="Y52">
        <v>-15355</v>
      </c>
      <c r="Z52">
        <v>-14.85</v>
      </c>
    </row>
    <row r="53" spans="1:26" x14ac:dyDescent="0.25">
      <c r="A53">
        <v>52</v>
      </c>
      <c r="B53" t="s">
        <v>98</v>
      </c>
      <c r="C53" t="s">
        <v>99</v>
      </c>
      <c r="D53">
        <v>2026</v>
      </c>
      <c r="E53" t="s">
        <v>70</v>
      </c>
      <c r="F53" t="s">
        <v>71</v>
      </c>
      <c r="G53" s="1">
        <f t="shared" ca="1" si="0"/>
        <v>45303</v>
      </c>
      <c r="H53">
        <v>39815</v>
      </c>
      <c r="I53">
        <v>41106</v>
      </c>
      <c r="J53">
        <v>1291</v>
      </c>
      <c r="K53">
        <v>1120</v>
      </c>
      <c r="L53">
        <v>0</v>
      </c>
      <c r="M53">
        <v>0</v>
      </c>
      <c r="N53">
        <v>1120</v>
      </c>
      <c r="O53">
        <v>171</v>
      </c>
      <c r="P53">
        <v>70426</v>
      </c>
      <c r="Q53">
        <v>0</v>
      </c>
      <c r="R53">
        <v>0</v>
      </c>
      <c r="S53">
        <v>70426</v>
      </c>
      <c r="T53">
        <v>11621</v>
      </c>
      <c r="U53">
        <v>0</v>
      </c>
      <c r="V53">
        <v>16138.424233396105</v>
      </c>
      <c r="W53">
        <v>59521</v>
      </c>
      <c r="X53">
        <v>87280.424233396101</v>
      </c>
      <c r="Y53">
        <v>-16854</v>
      </c>
      <c r="Z53">
        <v>-23.93</v>
      </c>
    </row>
    <row r="54" spans="1:26" x14ac:dyDescent="0.25">
      <c r="A54">
        <v>53</v>
      </c>
      <c r="B54" t="s">
        <v>98</v>
      </c>
      <c r="C54" t="s">
        <v>99</v>
      </c>
      <c r="D54">
        <v>2026</v>
      </c>
      <c r="E54" t="s">
        <v>72</v>
      </c>
      <c r="F54" t="s">
        <v>71</v>
      </c>
      <c r="G54" s="1">
        <f t="shared" ca="1" si="0"/>
        <v>45385</v>
      </c>
      <c r="H54">
        <v>83506</v>
      </c>
      <c r="I54">
        <v>86872</v>
      </c>
      <c r="J54">
        <v>3366</v>
      </c>
      <c r="K54">
        <v>280</v>
      </c>
      <c r="L54">
        <v>0</v>
      </c>
      <c r="M54">
        <v>3286</v>
      </c>
      <c r="N54">
        <v>3566</v>
      </c>
      <c r="O54">
        <v>-200</v>
      </c>
      <c r="P54">
        <v>22305</v>
      </c>
      <c r="Q54">
        <v>0</v>
      </c>
      <c r="R54">
        <v>159000</v>
      </c>
      <c r="S54">
        <v>181305</v>
      </c>
      <c r="T54">
        <v>23782</v>
      </c>
      <c r="U54">
        <v>12914</v>
      </c>
      <c r="V54">
        <v>41546.829376024209</v>
      </c>
      <c r="W54">
        <v>59521</v>
      </c>
      <c r="X54">
        <v>137763.82937602419</v>
      </c>
      <c r="Y54">
        <v>43541</v>
      </c>
      <c r="Z54">
        <v>24.02</v>
      </c>
    </row>
    <row r="55" spans="1:26" x14ac:dyDescent="0.25">
      <c r="A55">
        <v>54</v>
      </c>
      <c r="B55" t="s">
        <v>98</v>
      </c>
      <c r="C55" t="s">
        <v>99</v>
      </c>
      <c r="D55">
        <v>2026</v>
      </c>
      <c r="E55" t="s">
        <v>73</v>
      </c>
      <c r="F55" t="s">
        <v>74</v>
      </c>
      <c r="G55" s="1">
        <f t="shared" ca="1" si="0"/>
        <v>45528</v>
      </c>
      <c r="H55">
        <v>123510</v>
      </c>
      <c r="I55">
        <v>124318</v>
      </c>
      <c r="J55">
        <v>808</v>
      </c>
      <c r="K55">
        <v>0</v>
      </c>
      <c r="L55">
        <v>0</v>
      </c>
      <c r="M55">
        <v>808</v>
      </c>
      <c r="N55">
        <v>808</v>
      </c>
      <c r="O55">
        <v>0</v>
      </c>
      <c r="P55">
        <v>0</v>
      </c>
      <c r="Q55">
        <v>0</v>
      </c>
      <c r="R55">
        <v>135118</v>
      </c>
      <c r="S55">
        <v>135118</v>
      </c>
      <c r="T55">
        <v>11364</v>
      </c>
      <c r="U55">
        <v>1200</v>
      </c>
      <c r="V55">
        <v>30962.877425496477</v>
      </c>
      <c r="W55">
        <v>0</v>
      </c>
      <c r="X55">
        <v>43526.877425496481</v>
      </c>
      <c r="Y55">
        <v>91591</v>
      </c>
      <c r="Z55">
        <v>67.790000000000006</v>
      </c>
    </row>
    <row r="56" spans="1:26" x14ac:dyDescent="0.25">
      <c r="A56">
        <v>55</v>
      </c>
      <c r="B56" t="s">
        <v>98</v>
      </c>
      <c r="C56" t="s">
        <v>99</v>
      </c>
      <c r="D56">
        <v>2026</v>
      </c>
      <c r="E56" t="s">
        <v>75</v>
      </c>
      <c r="F56" t="s">
        <v>74</v>
      </c>
      <c r="G56" s="1">
        <f t="shared" ca="1" si="0"/>
        <v>45027</v>
      </c>
      <c r="H56">
        <v>68781</v>
      </c>
      <c r="I56">
        <v>71845</v>
      </c>
      <c r="J56">
        <v>3064</v>
      </c>
      <c r="K56">
        <v>3128</v>
      </c>
      <c r="L56">
        <v>0</v>
      </c>
      <c r="M56">
        <v>0</v>
      </c>
      <c r="N56">
        <v>3128</v>
      </c>
      <c r="O56">
        <v>-64</v>
      </c>
      <c r="P56">
        <v>167467</v>
      </c>
      <c r="Q56">
        <v>0</v>
      </c>
      <c r="R56">
        <v>0</v>
      </c>
      <c r="S56">
        <v>167467</v>
      </c>
      <c r="T56">
        <v>28086</v>
      </c>
      <c r="U56">
        <v>8632</v>
      </c>
      <c r="V56">
        <v>38375.791484595822</v>
      </c>
      <c r="W56">
        <v>69959</v>
      </c>
      <c r="X56">
        <v>145052.79148459583</v>
      </c>
      <c r="Y56">
        <v>22414</v>
      </c>
      <c r="Z56">
        <v>13.38</v>
      </c>
    </row>
    <row r="57" spans="1:26" x14ac:dyDescent="0.25">
      <c r="A57">
        <v>56</v>
      </c>
      <c r="B57" t="s">
        <v>98</v>
      </c>
      <c r="C57" t="s">
        <v>99</v>
      </c>
      <c r="D57">
        <v>2026</v>
      </c>
      <c r="E57" t="s">
        <v>76</v>
      </c>
      <c r="F57" t="s">
        <v>74</v>
      </c>
      <c r="G57" s="1">
        <f t="shared" ca="1" si="0"/>
        <v>44709</v>
      </c>
      <c r="H57">
        <v>25420</v>
      </c>
      <c r="I57">
        <v>28421</v>
      </c>
      <c r="J57">
        <v>3001</v>
      </c>
      <c r="K57">
        <v>2746</v>
      </c>
      <c r="L57">
        <v>0</v>
      </c>
      <c r="M57">
        <v>0</v>
      </c>
      <c r="N57">
        <v>2746</v>
      </c>
      <c r="O57">
        <v>255</v>
      </c>
      <c r="P57">
        <v>182529</v>
      </c>
      <c r="Q57">
        <v>0</v>
      </c>
      <c r="R57">
        <v>0</v>
      </c>
      <c r="S57">
        <v>182529</v>
      </c>
      <c r="T57">
        <v>26170</v>
      </c>
      <c r="U57">
        <v>0</v>
      </c>
      <c r="V57">
        <v>41827.314300081751</v>
      </c>
      <c r="W57">
        <v>50485</v>
      </c>
      <c r="X57">
        <v>118482.31430008175</v>
      </c>
      <c r="Y57">
        <v>64047</v>
      </c>
      <c r="Z57">
        <v>35.090000000000003</v>
      </c>
    </row>
    <row r="58" spans="1:26" x14ac:dyDescent="0.25">
      <c r="A58">
        <v>57</v>
      </c>
      <c r="B58" t="s">
        <v>98</v>
      </c>
      <c r="C58" t="s">
        <v>99</v>
      </c>
      <c r="D58">
        <v>2026</v>
      </c>
      <c r="E58" t="s">
        <v>77</v>
      </c>
      <c r="F58" t="s">
        <v>74</v>
      </c>
      <c r="G58" s="1">
        <f t="shared" ca="1" si="0"/>
        <v>44925</v>
      </c>
      <c r="H58">
        <v>34175</v>
      </c>
      <c r="I58">
        <v>35681</v>
      </c>
      <c r="J58">
        <v>1506</v>
      </c>
      <c r="K58">
        <v>0</v>
      </c>
      <c r="L58">
        <v>0</v>
      </c>
      <c r="M58">
        <v>1506</v>
      </c>
      <c r="N58">
        <v>1506</v>
      </c>
      <c r="O58">
        <v>0</v>
      </c>
      <c r="P58">
        <v>0</v>
      </c>
      <c r="Q58">
        <v>0</v>
      </c>
      <c r="R58">
        <v>160353</v>
      </c>
      <c r="S58">
        <v>160353</v>
      </c>
      <c r="T58">
        <v>8783</v>
      </c>
      <c r="U58">
        <v>9853</v>
      </c>
      <c r="V58">
        <v>36745.587440686191</v>
      </c>
      <c r="W58">
        <v>50485</v>
      </c>
      <c r="X58">
        <v>105866.58744068618</v>
      </c>
      <c r="Y58">
        <v>54486</v>
      </c>
      <c r="Z58">
        <v>33.979999999999997</v>
      </c>
    </row>
    <row r="59" spans="1:26" x14ac:dyDescent="0.25">
      <c r="A59">
        <v>58</v>
      </c>
      <c r="B59" t="s">
        <v>98</v>
      </c>
      <c r="C59" t="s">
        <v>99</v>
      </c>
      <c r="D59">
        <v>2026</v>
      </c>
      <c r="E59" t="s">
        <v>78</v>
      </c>
      <c r="F59" t="s">
        <v>74</v>
      </c>
      <c r="G59" s="1">
        <f t="shared" ca="1" si="0"/>
        <v>45495</v>
      </c>
      <c r="H59">
        <v>6047</v>
      </c>
      <c r="I59">
        <v>8758</v>
      </c>
      <c r="J59">
        <v>2711</v>
      </c>
      <c r="K59">
        <v>2587</v>
      </c>
      <c r="L59">
        <v>0</v>
      </c>
      <c r="M59">
        <v>0</v>
      </c>
      <c r="N59">
        <v>2587</v>
      </c>
      <c r="O59">
        <v>124</v>
      </c>
      <c r="P59">
        <v>148419</v>
      </c>
      <c r="Q59">
        <v>0</v>
      </c>
      <c r="R59">
        <v>0</v>
      </c>
      <c r="S59">
        <v>148419</v>
      </c>
      <c r="T59">
        <v>35117</v>
      </c>
      <c r="U59">
        <v>3500</v>
      </c>
      <c r="V59">
        <v>34010.8594311251</v>
      </c>
      <c r="W59">
        <v>54060</v>
      </c>
      <c r="X59">
        <v>126687.85943112511</v>
      </c>
      <c r="Y59">
        <v>21731</v>
      </c>
      <c r="Z59">
        <v>14.64</v>
      </c>
    </row>
    <row r="60" spans="1:26" x14ac:dyDescent="0.25">
      <c r="A60">
        <v>59</v>
      </c>
      <c r="B60" t="s">
        <v>98</v>
      </c>
      <c r="C60" t="s">
        <v>99</v>
      </c>
      <c r="D60">
        <v>2026</v>
      </c>
      <c r="E60" t="s">
        <v>79</v>
      </c>
      <c r="F60" t="s">
        <v>74</v>
      </c>
      <c r="G60" s="1">
        <f t="shared" ca="1" si="0"/>
        <v>45196</v>
      </c>
      <c r="H60">
        <v>21357</v>
      </c>
      <c r="I60">
        <v>24137</v>
      </c>
      <c r="J60">
        <v>2780</v>
      </c>
      <c r="K60">
        <v>0</v>
      </c>
      <c r="L60">
        <v>0</v>
      </c>
      <c r="M60">
        <v>2780</v>
      </c>
      <c r="N60">
        <v>2780</v>
      </c>
      <c r="O60">
        <v>0</v>
      </c>
      <c r="P60">
        <v>0</v>
      </c>
      <c r="Q60">
        <v>0</v>
      </c>
      <c r="R60">
        <v>148500</v>
      </c>
      <c r="S60">
        <v>148500</v>
      </c>
      <c r="T60">
        <v>20822</v>
      </c>
      <c r="U60">
        <v>0</v>
      </c>
      <c r="V60">
        <v>34029.420933452442</v>
      </c>
      <c r="W60">
        <v>50485</v>
      </c>
      <c r="X60">
        <v>105336.42093345243</v>
      </c>
      <c r="Y60">
        <v>43164</v>
      </c>
      <c r="Z60">
        <v>29.07</v>
      </c>
    </row>
    <row r="61" spans="1:26" x14ac:dyDescent="0.25">
      <c r="A61">
        <v>60</v>
      </c>
      <c r="B61" t="s">
        <v>98</v>
      </c>
      <c r="C61" t="s">
        <v>99</v>
      </c>
      <c r="D61">
        <v>2026</v>
      </c>
      <c r="E61" t="s">
        <v>80</v>
      </c>
      <c r="F61" t="s">
        <v>74</v>
      </c>
      <c r="G61" s="1">
        <f t="shared" ca="1" si="0"/>
        <v>44829</v>
      </c>
      <c r="H61">
        <v>84</v>
      </c>
      <c r="I61">
        <v>875</v>
      </c>
      <c r="J61">
        <v>791</v>
      </c>
      <c r="K61">
        <v>790</v>
      </c>
      <c r="L61">
        <v>0</v>
      </c>
      <c r="M61">
        <v>0</v>
      </c>
      <c r="N61">
        <v>790</v>
      </c>
      <c r="O61">
        <v>1</v>
      </c>
      <c r="P61">
        <v>48253</v>
      </c>
      <c r="Q61">
        <v>0</v>
      </c>
      <c r="R61">
        <v>0</v>
      </c>
      <c r="S61">
        <v>48253</v>
      </c>
      <c r="T61">
        <v>11878</v>
      </c>
      <c r="U61">
        <v>0</v>
      </c>
      <c r="V61">
        <v>11057.3848370497</v>
      </c>
      <c r="W61">
        <v>0</v>
      </c>
      <c r="X61">
        <v>22935.3848370497</v>
      </c>
      <c r="Y61">
        <v>25318</v>
      </c>
      <c r="Z61">
        <v>52.47</v>
      </c>
    </row>
    <row r="62" spans="1:26" x14ac:dyDescent="0.25">
      <c r="A62">
        <v>61</v>
      </c>
      <c r="B62" t="s">
        <v>98</v>
      </c>
      <c r="C62" t="s">
        <v>99</v>
      </c>
      <c r="D62">
        <v>2026</v>
      </c>
      <c r="E62" t="s">
        <v>81</v>
      </c>
      <c r="F62" t="s">
        <v>74</v>
      </c>
      <c r="G62" s="1">
        <f t="shared" ca="1" si="0"/>
        <v>44617</v>
      </c>
      <c r="H62">
        <v>91</v>
      </c>
      <c r="I62">
        <v>1119</v>
      </c>
      <c r="J62">
        <v>1028</v>
      </c>
      <c r="K62">
        <v>850</v>
      </c>
      <c r="L62">
        <v>0</v>
      </c>
      <c r="M62">
        <v>0</v>
      </c>
      <c r="N62">
        <v>850</v>
      </c>
      <c r="O62">
        <v>178</v>
      </c>
      <c r="P62">
        <v>58759</v>
      </c>
      <c r="Q62">
        <v>0</v>
      </c>
      <c r="R62">
        <v>0</v>
      </c>
      <c r="S62">
        <v>58759</v>
      </c>
      <c r="T62">
        <v>15914</v>
      </c>
      <c r="U62">
        <v>0</v>
      </c>
      <c r="V62">
        <v>13464.880435210316</v>
      </c>
      <c r="W62">
        <v>0</v>
      </c>
      <c r="X62">
        <v>29378.880435210318</v>
      </c>
      <c r="Y62">
        <v>29380</v>
      </c>
      <c r="Z62">
        <v>50</v>
      </c>
    </row>
    <row r="63" spans="1:26" x14ac:dyDescent="0.25">
      <c r="A63">
        <v>62</v>
      </c>
      <c r="B63" t="s">
        <v>98</v>
      </c>
      <c r="C63" t="s">
        <v>99</v>
      </c>
      <c r="D63">
        <v>2026</v>
      </c>
      <c r="E63" t="s">
        <v>82</v>
      </c>
      <c r="F63" t="s">
        <v>83</v>
      </c>
      <c r="G63" s="1">
        <f t="shared" ca="1" si="0"/>
        <v>45607</v>
      </c>
      <c r="H63">
        <v>8797</v>
      </c>
      <c r="I63">
        <v>9648</v>
      </c>
      <c r="J63">
        <v>851</v>
      </c>
      <c r="K63">
        <v>814</v>
      </c>
      <c r="L63">
        <v>0</v>
      </c>
      <c r="M63">
        <v>0</v>
      </c>
      <c r="N63">
        <v>814</v>
      </c>
      <c r="O63">
        <v>37</v>
      </c>
      <c r="P63">
        <v>185857</v>
      </c>
      <c r="Q63">
        <v>0</v>
      </c>
      <c r="R63">
        <v>0</v>
      </c>
      <c r="S63">
        <v>185857</v>
      </c>
      <c r="T63">
        <v>5984</v>
      </c>
      <c r="U63">
        <v>0</v>
      </c>
      <c r="V63">
        <v>42589.939975950641</v>
      </c>
      <c r="W63">
        <v>123711</v>
      </c>
      <c r="X63">
        <v>172284.93997595063</v>
      </c>
      <c r="Y63">
        <v>13572</v>
      </c>
      <c r="Z63">
        <v>7.3</v>
      </c>
    </row>
    <row r="64" spans="1:26" x14ac:dyDescent="0.25">
      <c r="A64">
        <v>63</v>
      </c>
      <c r="B64" t="s">
        <v>98</v>
      </c>
      <c r="C64" t="s">
        <v>99</v>
      </c>
      <c r="D64">
        <v>2026</v>
      </c>
      <c r="E64" t="s">
        <v>84</v>
      </c>
      <c r="F64" t="s">
        <v>85</v>
      </c>
      <c r="G64" s="1">
        <f t="shared" ca="1" si="0"/>
        <v>44802</v>
      </c>
      <c r="H64">
        <v>55544</v>
      </c>
      <c r="I64">
        <v>55780</v>
      </c>
      <c r="J64">
        <v>236</v>
      </c>
      <c r="K64">
        <v>240</v>
      </c>
      <c r="L64">
        <v>0</v>
      </c>
      <c r="M64">
        <v>0</v>
      </c>
      <c r="N64">
        <v>240</v>
      </c>
      <c r="O64">
        <v>-4</v>
      </c>
      <c r="P64">
        <v>46000</v>
      </c>
      <c r="Q64">
        <v>0</v>
      </c>
      <c r="R64">
        <v>0</v>
      </c>
      <c r="S64">
        <v>46000</v>
      </c>
      <c r="T64">
        <v>0</v>
      </c>
      <c r="U64">
        <v>19000</v>
      </c>
      <c r="V64">
        <v>10541.100087130049</v>
      </c>
      <c r="W64">
        <v>0</v>
      </c>
      <c r="X64">
        <v>29541.100087130049</v>
      </c>
      <c r="Y64">
        <v>16459</v>
      </c>
      <c r="Z64">
        <v>35.78</v>
      </c>
    </row>
    <row r="65" spans="1:26" x14ac:dyDescent="0.25">
      <c r="A65">
        <v>64</v>
      </c>
      <c r="B65" t="s">
        <v>98</v>
      </c>
      <c r="C65" t="s">
        <v>99</v>
      </c>
      <c r="D65">
        <v>2026</v>
      </c>
      <c r="E65" t="s">
        <v>86</v>
      </c>
      <c r="F65" t="s">
        <v>87</v>
      </c>
      <c r="G65" s="1">
        <f t="shared" ca="1" si="0"/>
        <v>45499</v>
      </c>
      <c r="H65">
        <v>71641</v>
      </c>
      <c r="I65">
        <v>78650</v>
      </c>
      <c r="J65">
        <v>7009</v>
      </c>
      <c r="K65">
        <v>0</v>
      </c>
      <c r="L65">
        <v>0</v>
      </c>
      <c r="M65">
        <v>5469</v>
      </c>
      <c r="N65">
        <v>5469</v>
      </c>
      <c r="O65">
        <v>1540</v>
      </c>
      <c r="P65">
        <v>0</v>
      </c>
      <c r="Q65">
        <v>0</v>
      </c>
      <c r="R65">
        <v>262115</v>
      </c>
      <c r="S65">
        <v>262115</v>
      </c>
      <c r="T65">
        <v>72378</v>
      </c>
      <c r="U65">
        <v>17582</v>
      </c>
      <c r="V65">
        <v>60064.792376915058</v>
      </c>
      <c r="W65">
        <v>67760</v>
      </c>
      <c r="X65">
        <v>217784.79237691505</v>
      </c>
      <c r="Y65">
        <v>44330</v>
      </c>
      <c r="Z65">
        <v>16.91</v>
      </c>
    </row>
    <row r="66" spans="1:26" x14ac:dyDescent="0.25">
      <c r="A66">
        <v>65</v>
      </c>
      <c r="B66" t="s">
        <v>98</v>
      </c>
      <c r="C66" t="s">
        <v>99</v>
      </c>
      <c r="D66">
        <v>2026</v>
      </c>
      <c r="E66" t="s">
        <v>88</v>
      </c>
      <c r="F66" t="s">
        <v>87</v>
      </c>
      <c r="G66" s="1">
        <f t="shared" ca="1" si="0"/>
        <v>44708</v>
      </c>
      <c r="H66">
        <v>68878</v>
      </c>
      <c r="I66">
        <v>72312</v>
      </c>
      <c r="J66">
        <v>3434</v>
      </c>
      <c r="K66">
        <v>0</v>
      </c>
      <c r="L66">
        <v>0</v>
      </c>
      <c r="M66">
        <v>3434</v>
      </c>
      <c r="N66">
        <v>3434</v>
      </c>
      <c r="O66">
        <v>0</v>
      </c>
      <c r="P66">
        <v>0</v>
      </c>
      <c r="Q66">
        <v>0</v>
      </c>
      <c r="R66">
        <v>210700</v>
      </c>
      <c r="S66">
        <v>210700</v>
      </c>
      <c r="T66">
        <v>44757</v>
      </c>
      <c r="U66">
        <v>7091</v>
      </c>
      <c r="V66">
        <v>48282.82148605003</v>
      </c>
      <c r="W66">
        <v>67760</v>
      </c>
      <c r="X66">
        <v>167890.82148605003</v>
      </c>
      <c r="Y66">
        <v>42809</v>
      </c>
      <c r="Z66">
        <v>20.32</v>
      </c>
    </row>
    <row r="67" spans="1:26" x14ac:dyDescent="0.25">
      <c r="A67">
        <v>66</v>
      </c>
      <c r="B67" t="s">
        <v>98</v>
      </c>
      <c r="C67" t="s">
        <v>99</v>
      </c>
      <c r="D67">
        <v>2026</v>
      </c>
      <c r="E67" t="s">
        <v>89</v>
      </c>
      <c r="F67" t="s">
        <v>87</v>
      </c>
      <c r="G67" s="1">
        <f t="shared" ref="G67:G78" ca="1" si="1">TODAY()-RANDBETWEEN(365,365*5)</f>
        <v>44557</v>
      </c>
      <c r="H67">
        <v>54548</v>
      </c>
      <c r="I67">
        <v>58288</v>
      </c>
      <c r="J67">
        <v>3740</v>
      </c>
      <c r="K67">
        <v>0</v>
      </c>
      <c r="L67">
        <v>0</v>
      </c>
      <c r="M67">
        <v>3740</v>
      </c>
      <c r="N67">
        <v>3740</v>
      </c>
      <c r="O67">
        <v>0</v>
      </c>
      <c r="P67">
        <v>0</v>
      </c>
      <c r="Q67">
        <v>0</v>
      </c>
      <c r="R67">
        <v>210700</v>
      </c>
      <c r="S67">
        <v>210700</v>
      </c>
      <c r="T67">
        <v>49336</v>
      </c>
      <c r="U67">
        <v>30102</v>
      </c>
      <c r="V67">
        <v>48282.82148605003</v>
      </c>
      <c r="W67">
        <v>67760</v>
      </c>
      <c r="X67">
        <v>195480.82148605003</v>
      </c>
      <c r="Y67">
        <v>15219</v>
      </c>
      <c r="Z67">
        <v>7.22</v>
      </c>
    </row>
    <row r="68" spans="1:26" x14ac:dyDescent="0.25">
      <c r="A68">
        <v>67</v>
      </c>
      <c r="B68" t="s">
        <v>98</v>
      </c>
      <c r="C68" t="s">
        <v>99</v>
      </c>
      <c r="D68">
        <v>2026</v>
      </c>
      <c r="E68" t="s">
        <v>90</v>
      </c>
      <c r="F68" t="s">
        <v>87</v>
      </c>
      <c r="G68" s="1">
        <f t="shared" ca="1" si="1"/>
        <v>45434</v>
      </c>
      <c r="H68">
        <v>15620</v>
      </c>
      <c r="I68">
        <v>17436</v>
      </c>
      <c r="J68">
        <v>1816</v>
      </c>
      <c r="K68">
        <v>2140</v>
      </c>
      <c r="L68">
        <v>0</v>
      </c>
      <c r="M68">
        <v>0</v>
      </c>
      <c r="N68">
        <v>2140</v>
      </c>
      <c r="O68">
        <v>-324</v>
      </c>
      <c r="P68">
        <v>173737</v>
      </c>
      <c r="Q68">
        <v>0</v>
      </c>
      <c r="R68">
        <v>0</v>
      </c>
      <c r="S68">
        <v>173737</v>
      </c>
      <c r="T68">
        <v>24759</v>
      </c>
      <c r="U68">
        <v>0</v>
      </c>
      <c r="V68">
        <v>39812.589257341591</v>
      </c>
      <c r="W68">
        <v>61903</v>
      </c>
      <c r="X68">
        <v>126474.58925734159</v>
      </c>
      <c r="Y68">
        <v>47262</v>
      </c>
      <c r="Z68">
        <v>27.2</v>
      </c>
    </row>
    <row r="69" spans="1:26" x14ac:dyDescent="0.25">
      <c r="A69">
        <v>68</v>
      </c>
      <c r="B69" t="s">
        <v>98</v>
      </c>
      <c r="C69" t="s">
        <v>99</v>
      </c>
      <c r="D69">
        <v>2026</v>
      </c>
      <c r="E69" t="s">
        <v>91</v>
      </c>
      <c r="F69" t="s">
        <v>92</v>
      </c>
      <c r="G69" s="1">
        <f t="shared" ca="1" si="1"/>
        <v>44551</v>
      </c>
      <c r="H69">
        <v>18491</v>
      </c>
      <c r="I69">
        <v>20073</v>
      </c>
      <c r="J69">
        <v>1582</v>
      </c>
      <c r="K69">
        <v>0</v>
      </c>
      <c r="L69">
        <v>0</v>
      </c>
      <c r="M69">
        <v>969</v>
      </c>
      <c r="N69">
        <v>969</v>
      </c>
      <c r="O69">
        <v>613</v>
      </c>
      <c r="P69">
        <v>0</v>
      </c>
      <c r="Q69">
        <v>0</v>
      </c>
      <c r="R69">
        <v>98025</v>
      </c>
      <c r="S69">
        <v>98025</v>
      </c>
      <c r="T69">
        <v>0</v>
      </c>
      <c r="U69">
        <v>9779</v>
      </c>
      <c r="V69">
        <v>22462.855131324413</v>
      </c>
      <c r="W69">
        <v>0</v>
      </c>
      <c r="X69">
        <v>32241.855131324413</v>
      </c>
      <c r="Y69">
        <v>65783</v>
      </c>
      <c r="Z69">
        <v>67.11</v>
      </c>
    </row>
    <row r="70" spans="1:26" x14ac:dyDescent="0.25">
      <c r="A70">
        <v>69</v>
      </c>
      <c r="B70" t="s">
        <v>98</v>
      </c>
      <c r="C70" t="s">
        <v>99</v>
      </c>
      <c r="D70">
        <v>2026</v>
      </c>
      <c r="E70" t="s">
        <v>93</v>
      </c>
      <c r="F70" t="s">
        <v>94</v>
      </c>
      <c r="G70" s="1">
        <f t="shared" ca="1" si="1"/>
        <v>45689</v>
      </c>
      <c r="H70">
        <v>38886</v>
      </c>
      <c r="I70">
        <v>41106</v>
      </c>
      <c r="J70">
        <v>2220</v>
      </c>
      <c r="K70">
        <v>0</v>
      </c>
      <c r="L70">
        <v>0</v>
      </c>
      <c r="M70">
        <v>2123</v>
      </c>
      <c r="N70">
        <v>2123</v>
      </c>
      <c r="O70">
        <v>97</v>
      </c>
      <c r="P70">
        <v>0</v>
      </c>
      <c r="Q70">
        <v>0</v>
      </c>
      <c r="R70">
        <v>111976</v>
      </c>
      <c r="S70">
        <v>111976</v>
      </c>
      <c r="T70">
        <v>0</v>
      </c>
      <c r="U70">
        <v>15514</v>
      </c>
      <c r="V70">
        <v>25659.787464271179</v>
      </c>
      <c r="W70">
        <v>0</v>
      </c>
      <c r="X70">
        <v>41173.787464271183</v>
      </c>
      <c r="Y70">
        <v>70802</v>
      </c>
      <c r="Z70">
        <v>63.23</v>
      </c>
    </row>
    <row r="71" spans="1:26" x14ac:dyDescent="0.25">
      <c r="G71" s="1"/>
    </row>
    <row r="72" spans="1:26" x14ac:dyDescent="0.25">
      <c r="G72" s="1"/>
    </row>
    <row r="73" spans="1:26" x14ac:dyDescent="0.25">
      <c r="G73" s="1"/>
    </row>
    <row r="74" spans="1:26" x14ac:dyDescent="0.25">
      <c r="G74" s="1"/>
    </row>
    <row r="75" spans="1:26" x14ac:dyDescent="0.25">
      <c r="G75" s="1"/>
    </row>
    <row r="76" spans="1:26" x14ac:dyDescent="0.25">
      <c r="G76" s="1"/>
    </row>
    <row r="77" spans="1:26" x14ac:dyDescent="0.25">
      <c r="G77" s="1"/>
    </row>
    <row r="78" spans="1:26" x14ac:dyDescent="0.25">
      <c r="G78" s="1"/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2026-05-10T09:21:27Z</dcterms:modified>
</cp:coreProperties>
</file>